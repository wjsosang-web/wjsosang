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시작" state="visible" r:id="rId4"/>
    <sheet sheetId="2" name="01_기획질문" state="visible" r:id="rId5"/>
    <sheet sheetId="3" name="02_메뉴구성" state="visible" r:id="rId6"/>
    <sheet sheetId="4" name="03_기능목록" state="visible" r:id="rId7"/>
    <sheet sheetId="5" name="04_관리자" state="visible" r:id="rId8"/>
    <sheet sheetId="6" name="05_연동절차" state="visible" r:id="rId9"/>
    <sheet sheetId="7" name="06_환경변수" state="visible" r:id="rId10"/>
    <sheet sheetId="8" name="07_DB설계" state="visible" r:id="rId11"/>
    <sheet sheetId="9" name="08_함정노트" state="visible" r:id="rId12"/>
    <sheet sheetId="10" name="09_일정표" state="visible" r:id="rId13"/>
    <sheet sheetId="11" name="10_의뢰문" state="visible" r:id="rId14"/>
  </sheets>
  <calcPr calcId="171027"/>
</workbook>
</file>

<file path=xl/sharedStrings.xml><?xml version="1.0" encoding="utf-8"?>
<sst xmlns="http://schemas.openxmlformats.org/spreadsheetml/2006/main" count="1501" uniqueCount="800">
  <si>
    <t>홈페이지 만들기 가이드북</t>
  </si>
  <si>
    <t>원주청년소상공인협회 홈페이지를 만들며 실제로 겪은 것을 정리했습니다. 노란 칸을 채워서 그대로 주시면 됩니다.</t>
  </si>
  <si>
    <t>순서</t>
  </si>
  <si>
    <t>단계</t>
  </si>
  <si>
    <t>무엇을 하나</t>
  </si>
  <si>
    <t>어느 탭을 보나</t>
  </si>
  <si>
    <t>걸리는 시간</t>
  </si>
  <si>
    <t>기획 질문 답하기</t>
  </si>
  <si>
    <t>홈페이지 성격·대상·꼭 필요한 기능을 먼저 정합니다. 여기서 정하지 않으면 만들다가 갈아엎게 됩니다.</t>
  </si>
  <si>
    <t>01_기획질문</t>
  </si>
  <si>
    <t>1시간</t>
  </si>
  <si>
    <t>메뉴 정하기</t>
  </si>
  <si>
    <t>상단 메뉴 몇 개를 어떤 이름으로 둘지 정합니다. 5~6개가 적당합니다.</t>
  </si>
  <si>
    <t>02_메뉴구성</t>
  </si>
  <si>
    <t>30분</t>
  </si>
  <si>
    <t>기능 고르기</t>
  </si>
  <si>
    <t>넣을 기능에 O, 뺄 기능에 X 를 적습니다. 이 탭이 곧 발주서입니다.</t>
  </si>
  <si>
    <t>03_기능목록</t>
  </si>
  <si>
    <t>관리자 화면 고르기</t>
  </si>
  <si>
    <t>누가 무엇을 직접 고칠 수 있어야 하는지 정합니다.</t>
  </si>
  <si>
    <t>04_관리자</t>
  </si>
  <si>
    <t>계정 만들기</t>
  </si>
  <si>
    <t>GitHub · Supabase · Vercel 가입과 연결. 처음이면 여기가 제일 막힙니다.</t>
  </si>
  <si>
    <t>05_연동절차</t>
  </si>
  <si>
    <t>1~2시간</t>
  </si>
  <si>
    <t>환경변수 넣기</t>
  </si>
  <si>
    <t>열쇠값을 Vercel 에 넣습니다. 빠뜨리면 기능이 조용히 안 돕니다.</t>
  </si>
  <si>
    <t>06_환경변수</t>
  </si>
  <si>
    <t>DB 만들기</t>
  </si>
  <si>
    <t>표 구조를 잡습니다. 나중에 바꾸기 제일 어려운 부분입니다.</t>
  </si>
  <si>
    <t>07_DB설계</t>
  </si>
  <si>
    <t>화면 만들기</t>
  </si>
  <si>
    <t>메뉴별 화면과 관리자 화면.</t>
  </si>
  <si>
    <t>02·04 탭</t>
  </si>
  <si>
    <t>1일</t>
  </si>
  <si>
    <t>자료 넣기</t>
  </si>
  <si>
    <t>회원·업장·글. 엑셀이 있으면 한 번에 올립니다.</t>
  </si>
  <si>
    <t>08_함정노트</t>
  </si>
  <si>
    <t>2~4시간</t>
  </si>
  <si>
    <t>점검하고 배포</t>
  </si>
  <si>
    <t>휴대폰 확인 · 검색엔진 등록 · 도메인 연결.</t>
  </si>
  <si>
    <t>09_일정표</t>
  </si>
  <si>
    <t>2~3시간</t>
  </si>
  <si>
    <t>이 파일을 쓰는 법</t>
  </si>
  <si>
    <t/>
  </si>
  <si>
    <t>1. 03_기능목록 탭의 [넣을까?] 칸에 O / X / 나중에 를 적습니다.</t>
  </si>
  <si>
    <t>2. 01_기획질문 탭의 [내 답] 칸을 채웁니다.</t>
  </si>
  <si>
    <t>3. 다 채운 파일을 저에게 그대로 주시면서 "이대로 만들어줘" 라고 하시면 됩니다.</t>
  </si>
  <si>
    <t xml:space="preserve">   그러면 되묻는 일이 거의 없어져서 시간과 비용이 크게 줄어듭니다.</t>
  </si>
  <si>
    <t>색 표시</t>
  </si>
  <si>
    <t xml:space="preserve">   노란 칸  = 대표님이 채우실 칸</t>
  </si>
  <si>
    <t xml:space="preserve">   빨간 글씨 = 빠뜨리면 크게 고생하는 것</t>
  </si>
  <si>
    <t>이 가이드는 원주청년소상공인협회 홈페이지를 만들며 실제로 겪은 것을 정리한 것입니다.</t>
  </si>
  <si>
    <t>매장관리 프로그램·더픽 홈페이지의 기능은 제가 본 적이 없어 빠져 있습니다.</t>
  </si>
  <si>
    <t>기억나시는 기능은 03_기능목록 맨 아래 빈 줄에 직접 적어 두시면 다음에 같이 씁니다.</t>
  </si>
  <si>
    <t>지금까지 고른 기능 (03_기능목록 탭을 채우면 자동으로 셉니다)</t>
  </si>
  <si>
    <t>넣기로 한 기능</t>
  </si>
  <si>
    <t>빼기로 한 기능</t>
  </si>
  <si>
    <t>아직 안 정한 기능</t>
  </si>
  <si>
    <t>① 먼저 정할 것</t>
  </si>
  <si>
    <t>만들기 전에 답해야 할 것들입니다. 여기서 정하지 않으면 만들다가 갈아엎게 됩니다.</t>
  </si>
  <si>
    <t>분류</t>
  </si>
  <si>
    <t>질문</t>
  </si>
  <si>
    <t>보기</t>
  </si>
  <si>
    <t>내 답</t>
  </si>
  <si>
    <t>왜 미리 정해야 하나</t>
  </si>
  <si>
    <t>기본</t>
  </si>
  <si>
    <t>홈페이지 이름과 한 줄 소개는?</t>
  </si>
  <si>
    <t>예) 원주청년소상공인협회 / 원주 청년 소상공인 모임</t>
  </si>
  <si>
    <t>검색 결과, 카톡 미리보기, 푸터에 계속 쓰입니다. 나중에 바꾸면 검색 순위가 처음부터 다시 쌓입니다.</t>
  </si>
  <si>
    <t>도메인은 무엇으로?</t>
  </si>
  <si>
    <t>영문(wjsosang.com) / 한글(원주청년소상공인협회.com) / 둘 다</t>
  </si>
  <si>
    <t>한글 도메인은 주소창에 xn-- 로 보일 수 있고 링크를 복사해 보내면 이상해 보입니다. 영문을 대표로 두고 한글을 보조로 두는 편이 편합니다.</t>
  </si>
  <si>
    <t>누가 주로 보나?</t>
  </si>
  <si>
    <t>회원 / 일반 시민 / 관공서 / 전부</t>
  </si>
  <si>
    <t>주 대상이 회원이면 로그인·자료실이 중요하고, 시민이면 업장 찾기와 검색이 중요합니다. 화면 순서가 달라집니다.</t>
  </si>
  <si>
    <t>휴대폰과 PC 중 어디를 더 많이 보나?</t>
  </si>
  <si>
    <t>휴대폰 위주 / 반반 / PC 위주</t>
  </si>
  <si>
    <t>휴대폰 위주면 좌우 여백 배너 같은 것을 만들 필요가 없습니다. 헛일을 줄입니다.</t>
  </si>
  <si>
    <t>내용</t>
  </si>
  <si>
    <t>메뉴는 몇 개로?</t>
  </si>
  <si>
    <t>5개 권장 (많아야 6개)</t>
  </si>
  <si>
    <t>7개가 넘으면 휴대폰에서 줄이 넘어가고, 회원은 그중 두세 개만 씁니다.</t>
  </si>
  <si>
    <t>글은 몇 종류로 나눌까?</t>
  </si>
  <si>
    <t>공지 / 활동소식 / 행사 / 자료실</t>
  </si>
  <si>
    <t>종류마다 목록 화면과 관리자 화면이 하나씩 늘어납니다. 적을수록 빨리 만들고 관리도 쉽습니다.</t>
  </si>
  <si>
    <t>목록으로 보여줄 대상이 있나?</t>
  </si>
  <si>
    <t>회원업장 / 제품 / 매장 / 없음</t>
  </si>
  <si>
    <t>이게 있으면 검색·필터·상세화면·사진갤러리가 통째로 따라옵니다. 작업량의 3분의 1쯤을 차지합니다.</t>
  </si>
  <si>
    <t>그 목록은 몇 건쯤 되나?</t>
  </si>
  <si>
    <t>예) 133곳</t>
  </si>
  <si>
    <t>50건 미만이면 검색이 필요 없고, 100건이 넘으면 검색·필터·더보기가 반드시 필요합니다.</t>
  </si>
  <si>
    <t>자료를 어디서 가져오나?</t>
  </si>
  <si>
    <t>직접 입력 / 엑셀 / 네이버 플레이스 / 공공데이터</t>
  </si>
  <si>
    <t>엑셀이나 플레이스에서 가져오면 초기 입력 시간을 며칠 줄입니다. 대신 불러오는 기능을 만드는 데 반나절이 듭니다.</t>
  </si>
  <si>
    <t>회원</t>
  </si>
  <si>
    <t>회원 로그인이 필요한가?</t>
  </si>
  <si>
    <t>필요 / 불필요</t>
  </si>
  <si>
    <t>불필요하면 작업량이 크게 줍니다. 회원 전용 자료나 본인 정보 수정이 필요할 때만 넣으세요.</t>
  </si>
  <si>
    <t>어떻게 로그인하나?</t>
  </si>
  <si>
    <t>카카오 / 이메일 / 네이버 / 전화번호</t>
  </si>
  <si>
    <t>카카오가 제일 쉽고 회원들이 익숙합니다. 네이버는 따로 붙여야 해서 반나절 더 듭니다.</t>
  </si>
  <si>
    <t>이미 명단(엑셀)이 있나?</t>
  </si>
  <si>
    <t>있음 / 없음</t>
  </si>
  <si>
    <t>있으면 '명단과 로그인 계정 잇기' 절차가 반드시 필요합니다. 없으면 가입 신청만 받으면 됩니다.</t>
  </si>
  <si>
    <t>가입에 승인이 필요한가?</t>
  </si>
  <si>
    <t>필요 / 자동 가입</t>
  </si>
  <si>
    <t>승인이 필요하면 승인 화면과 알림이 따라옵니다.</t>
  </si>
  <si>
    <t>회원이 직접 고칠 수 있어야 하는 것은?</t>
  </si>
  <si>
    <t>내 정보 / 내 업장 / 없음</t>
  </si>
  <si>
    <t>열어줄 항목을 미리 정해야 합니다. 상호·주소까지 열면 명단과 어긋나기 시작합니다.</t>
  </si>
  <si>
    <t>알림</t>
  </si>
  <si>
    <t>알림을 보내야 하나?</t>
  </si>
  <si>
    <t>불필요하면 반나절을 아낍니다.</t>
  </si>
  <si>
    <t>무엇으로 보내나?</t>
  </si>
  <si>
    <t>텔레그램 / 문자 / 카카오 알림톡 / 이메일</t>
  </si>
  <si>
    <t>텔레그램은 무료이고 바로 됩니다. 알림톡은 심사와 건당 비용이 있고 준비에 1~2주 걸립니다.</t>
  </si>
  <si>
    <t>누가 받아야 하나?</t>
  </si>
  <si>
    <t>임원 몇 명 / 전체 회원 / 종류별로 다르게</t>
  </si>
  <si>
    <t>사람 이름으로 지정하면 임기가 바뀔 때마다 손봐야 합니다. 직책으로 지정하면 조직도만 고치면 됩니다.</t>
  </si>
  <si>
    <t>관리</t>
  </si>
  <si>
    <t>누가 홈페이지를 관리하나?</t>
  </si>
  <si>
    <t>1명 / 여러 명 / 임기마다 교체</t>
  </si>
  <si>
    <t>여러 명이면 권한을 나눠야 합니다. 교체되면 사람이 아니라 직책 기준으로 권한을 줘야 합니다.</t>
  </si>
  <si>
    <t>권한을 몇 단계로?</t>
  </si>
  <si>
    <t>1단계(관리자만) / 3단계(운영자·임원·회원)</t>
  </si>
  <si>
    <t>3단계가 실무에는 충분합니다. 더 쪼개면 관리가 더 어려워집니다.</t>
  </si>
  <si>
    <t>관리자가 직접 고쳐야 하는 것은?</t>
  </si>
  <si>
    <t>글 / 사진 / 메뉴 문구 / 배너 / 연락처 / 전부</t>
  </si>
  <si>
    <t>'전부' 로 하면 관리자 화면 만드는 데만 하루가 더 듭니다. 자주 바뀌는 것만 고르세요.</t>
  </si>
  <si>
    <t>디자인</t>
  </si>
  <si>
    <t>로고 파일이 있나?</t>
  </si>
  <si>
    <t>있음(어떤 형태) / 없음</t>
  </si>
  <si>
    <t>가로형·세로형·심볼 세 가지가 있으면 좋습니다. 없으면 임시 마크로 시작하고 나중에 넣습니다.</t>
  </si>
  <si>
    <t>대표 색은?</t>
  </si>
  <si>
    <t>예) 초록 계열</t>
  </si>
  <si>
    <t>처음에 정하면 전체가 한 번에 잡힙니다. 나중에 바꾸면 화면마다 손봐야 합니다.</t>
  </si>
  <si>
    <t>참고할 홈페이지가 있나?</t>
  </si>
  <si>
    <t>주소 2~3개</t>
  </si>
  <si>
    <t>말로 설명하는 것보다 훨씬 빠르고 정확합니다. 이것 하나로 몇 시간이 줄어듭니다.</t>
  </si>
  <si>
    <t>운영</t>
  </si>
  <si>
    <t>글은 얼마나 자주 올리나?</t>
  </si>
  <si>
    <t>주 1회 / 월 1회 / 거의 안 올림</t>
  </si>
  <si>
    <t>거의 안 올리면 게시판을 단순하게 만들어도 됩니다.</t>
  </si>
  <si>
    <t>검색에 잘 나와야 하나?</t>
  </si>
  <si>
    <t>중요 / 보통 / 상관없음</t>
  </si>
  <si>
    <t>중요하면 sitemap·검색엔진 등록·키워드 설정을 처음부터 챙깁니다.</t>
  </si>
  <si>
    <t>예산</t>
  </si>
  <si>
    <t>유료로 쓸 수 있는 것은?</t>
  </si>
  <si>
    <t>도메인만 / 도메인+서버 / 전부 무료로</t>
  </si>
  <si>
    <t>전부 무료로 하면 Vercel·Supabase 무료 범위 안에서 설계해야 합니다. 회원 수백 명 규모면 무료로 충분합니다.</t>
  </si>
  <si>
    <t>② 메뉴와 화면 구성</t>
  </si>
  <si>
    <t>메뉴별로 어떤 구역이 들어가는지. [넣을까?] 칸에 O / X / 나중에 를 적으세요.</t>
  </si>
  <si>
    <t>메뉴</t>
  </si>
  <si>
    <t>화면 주소</t>
  </si>
  <si>
    <t>안에 들어가는 구역</t>
  </si>
  <si>
    <t>설명</t>
  </si>
  <si>
    <t>필요도</t>
  </si>
  <si>
    <t>넣을까?</t>
  </si>
  <si>
    <t>메인홈</t>
  </si>
  <si>
    <t>/</t>
  </si>
  <si>
    <t>상단 큰 배너(슬라이더)</t>
  </si>
  <si>
    <t>사진 2~3장이 넘어가는 배너. 문구와 버튼을 관리자에서 고칠 수 있게.</t>
  </si>
  <si>
    <t>필수</t>
  </si>
  <si>
    <t>예정 행사 띠</t>
  </si>
  <si>
    <t>가장 가까운 행사 한 건. 없으면 이 구역을 통째로 숨깁니다.</t>
  </si>
  <si>
    <t>권장</t>
  </si>
  <si>
    <t>공지 · 최근활동 나란히</t>
  </si>
  <si>
    <t>왼쪽에 공지 목록, 오른쪽에 활동 사진 카드.</t>
  </si>
  <si>
    <t>슬로건 띠</t>
  </si>
  <si>
    <t>짧은 문구 한 줄. 화면이 단조로울 때 사이를 끊어 줍니다.</t>
  </si>
  <si>
    <t>선택</t>
  </si>
  <si>
    <t>목록 미리보기 + 검색</t>
  </si>
  <si>
    <t>업장·제품 15곳쯤 + 검색창 + 더보기. 다섯 칸 세 줄이 보기 좋습니다.</t>
  </si>
  <si>
    <t>방문 순위</t>
  </si>
  <si>
    <t>로그인한 회원 기준. 로그인이 없으면 만들 수 없습니다.</t>
  </si>
  <si>
    <t>가입 유도 띠</t>
  </si>
  <si>
    <t>'지금 함께하세요' + 문의 버튼.</t>
  </si>
  <si>
    <t>행사 달력</t>
  </si>
  <si>
    <t>월별 달력. 행사가 적으면 목록으로 충분합니다.</t>
  </si>
  <si>
    <t>외부 바로가기</t>
  </si>
  <si>
    <t>자주 가는 기관 사이트 묶음. 로고를 넣으면 신뢰감이 올라갑니다.</t>
  </si>
  <si>
    <t>팝업</t>
  </si>
  <si>
    <t>기간을 정해 뜨는 알림창. '오늘 하루 보지 않기' 필수.</t>
  </si>
  <si>
    <t>소개</t>
  </si>
  <si>
    <t>/about</t>
  </si>
  <si>
    <t>인사말</t>
  </si>
  <si>
    <t>대표 사진 + 글. 관리자에서 고칠 수 있게.</t>
  </si>
  <si>
    <t>연혁</t>
  </si>
  <si>
    <t>연도별 목록.</t>
  </si>
  <si>
    <t>조직도</t>
  </si>
  <si>
    <t>사람 데이터로 그립니다. 사진 한 장으로 올리면 바뀔 때마다 다시 만들어야 합니다.</t>
  </si>
  <si>
    <t>사업분야 / 하는 일</t>
  </si>
  <si>
    <t>카드 3~6개.</t>
  </si>
  <si>
    <t>함께하는 기관</t>
  </si>
  <si>
    <t>로고 묶음. 로고 파일은 각 기관에서 받아야 합니다.</t>
  </si>
  <si>
    <t>회원 전용 자료</t>
  </si>
  <si>
    <t>정관 등. 로그인 또는 코드로 잠급니다.</t>
  </si>
  <si>
    <t>목록</t>
  </si>
  <si>
    <t>/business</t>
  </si>
  <si>
    <t>상단 띠 + 검색창</t>
  </si>
  <si>
    <t>검색창은 상단 띠에 걸쳐 놓으면 눈에 잘 띕니다.</t>
  </si>
  <si>
    <t>업종 · 지역 거르기</t>
  </si>
  <si>
    <t>칩 버튼. 항목이 많으면 가로 스크롤.</t>
  </si>
  <si>
    <t>카드 목록 + 더보기</t>
  </si>
  <si>
    <t>화면 너비에 따라 줄이 딱 떨어지게 끊습니다.</t>
  </si>
  <si>
    <t>노출 순서 규칙</t>
  </si>
  <si>
    <t>랜덤 / 이름순 / 최신순. 랜덤은 볼 때마다 섞을지 하루 단위로 섞을지 정해야 합니다.</t>
  </si>
  <si>
    <t>/business/[상세]</t>
  </si>
  <si>
    <t>대표사진 + 사진 갤러리</t>
  </si>
  <si>
    <t>눌러서 크게 보기. 닫기 버튼을 반드시 헤더보다 위에.</t>
  </si>
  <si>
    <t>기본정보</t>
  </si>
  <si>
    <t>주소 · 전화 · 영업시간 · 지도 · SNS.</t>
  </si>
  <si>
    <t>소개글 · 메뉴 · 가격</t>
  </si>
  <si>
    <t>플레이스에서 끌어오면 입력 시간이 크게 줍니다.</t>
  </si>
  <si>
    <t>회원 혜택</t>
  </si>
  <si>
    <t>'회원증 보여주면 10% 할인' 같은 것. 회원끼리 찾아올 이유를 만듭니다.</t>
  </si>
  <si>
    <t>활동</t>
  </si>
  <si>
    <t>/activities</t>
  </si>
  <si>
    <t>탭(공지·활동·행사)</t>
  </si>
  <si>
    <t>한 화면에서 탭으로 나눕니다. 화면을 나누면 관리가 늘어납니다.</t>
  </si>
  <si>
    <t>/activities/[상세]</t>
  </si>
  <si>
    <t>글 상세 + 사진</t>
  </si>
  <si>
    <t>공유 버튼, 목록으로 돌아가기.</t>
  </si>
  <si>
    <t>문의</t>
  </si>
  <si>
    <t>/contact</t>
  </si>
  <si>
    <t>연락처 · 위치 · 운영시간</t>
  </si>
  <si>
    <t>전화번호는 눌러서 바로 걸리게.</t>
  </si>
  <si>
    <t>문의 폼</t>
  </si>
  <si>
    <t>이름·연락처·종류·내용 + 개인정보 동의.</t>
  </si>
  <si>
    <t>가입 안내 링크</t>
  </si>
  <si>
    <t>가입 절차·회비·환불 규정을 따로 한 화면에.</t>
  </si>
  <si>
    <t>가입안내</t>
  </si>
  <si>
    <t>/join</t>
  </si>
  <si>
    <t>자격 · 회비 · 절차</t>
  </si>
  <si>
    <t>계좌 복사 버튼이 있으면 문의가 줄어듭니다.</t>
  </si>
  <si>
    <t>/login</t>
  </si>
  <si>
    <t>로그인</t>
  </si>
  <si>
    <t>카카오 + 이메일.</t>
  </si>
  <si>
    <t>/my</t>
  </si>
  <si>
    <t>내 정보</t>
  </si>
  <si>
    <t>로그인 후 첫 화면. 이게 없으면 로그인해도 404 가 납니다.</t>
  </si>
  <si>
    <t>본인 확인 / 가입 신청</t>
  </si>
  <si>
    <t>기존 명단과 잇기 + 신규 신청을 한 화면에서 탭으로.</t>
  </si>
  <si>
    <t>내 업장 수정</t>
  </si>
  <si>
    <t>열어줄 항목을 미리 정해야 합니다.</t>
  </si>
  <si>
    <t>알림 연결</t>
  </si>
  <si>
    <t>텔레그램 등.</t>
  </si>
  <si>
    <t>도움말</t>
  </si>
  <si>
    <t>/help/...</t>
  </si>
  <si>
    <t>사용법 안내</t>
  </si>
  <si>
    <t>회원에게 링크 하나만 보내면 되게. 휴대폰 기준으로 크게.</t>
  </si>
  <si>
    <t>③ 기능 고르기 — 이 탭이 곧 발주서입니다</t>
  </si>
  <si>
    <t>넣을 것에 O, 뺄 것에 X. 예상시간을 더하면 전체 기간이 나옵니다. 맨 아래 빈 줄에 직접 추가하셔도 됩니다.</t>
  </si>
  <si>
    <t>기능</t>
  </si>
  <si>
    <t>난이도</t>
  </si>
  <si>
    <t>예상시간</t>
  </si>
  <si>
    <t>미리 준비할 것</t>
  </si>
  <si>
    <t>주의할 점</t>
  </si>
  <si>
    <t>기반</t>
  </si>
  <si>
    <t>반응형 (휴대폰·태블릿)</t>
  </si>
  <si>
    <t>화면 크기에 따라 배치가 바뀝니다.</t>
  </si>
  <si>
    <t>중</t>
  </si>
  <si>
    <t>포함</t>
  </si>
  <si>
    <t>-</t>
  </si>
  <si>
    <t>만들면서 계속 확인해야 합니다. 나중에 몰아서 고치면 두 배 듭니다.</t>
  </si>
  <si>
    <t>로고 · 파비콘</t>
  </si>
  <si>
    <t>가로형·세로형·심볼 세 가지.</t>
  </si>
  <si>
    <t>하</t>
  </si>
  <si>
    <t>로고 파일</t>
  </si>
  <si>
    <t>파일이 없어도 임시 마크로 시작할 수 있게 만들어 두면 진행이 안 막힙니다.</t>
  </si>
  <si>
    <t>SEO 기본</t>
  </si>
  <si>
    <t>검색 제목·설명·대표 이미지.</t>
  </si>
  <si>
    <t>2시간</t>
  </si>
  <si>
    <t>도메인이 정해진 뒤에 넣어야 합니다. 주소가 바뀌면 다시 해야 합니다.</t>
  </si>
  <si>
    <t>sitemap · robots</t>
  </si>
  <si>
    <t>검색엔진에 화면 목록을 알려줍니다.</t>
  </si>
  <si>
    <t>자동으로 만들게 해야 합니다. 손으로 적으면 글이 늘 때마다 빠집니다.</t>
  </si>
  <si>
    <t>검색엔진 등록</t>
  </si>
  <si>
    <t>네이버 서치어드바이저 · 구글 서치콘솔.</t>
  </si>
  <si>
    <t>각 사이트 가입</t>
  </si>
  <si>
    <t>소유확인은 HTML 태그 방식으로. 파일 업로드 방식은 Vercel 에서 번거롭습니다.</t>
  </si>
  <si>
    <t>공유 미리보기</t>
  </si>
  <si>
    <t>카톡에 붙였을 때 나오는 카드.</t>
  </si>
  <si>
    <t>대표 이미지</t>
  </si>
  <si>
    <t>이미지 주소는 반드시 전체 주소여야 합니다. 상대주소면 안 나옵니다.</t>
  </si>
  <si>
    <t>메인</t>
  </si>
  <si>
    <t>배너 슬라이더</t>
  </si>
  <si>
    <t>사진이 넘어가는 상단 배너.</t>
  </si>
  <si>
    <t>3시간</t>
  </si>
  <si>
    <t>사진 2~3장</t>
  </si>
  <si>
    <t>사진 크기를 통일해야 합니다. 제각각이면 넘길 때마다 높이가 출렁입니다.</t>
  </si>
  <si>
    <t>가장 가까운 행사 한 건.</t>
  </si>
  <si>
    <t>'날짜 미정' 행사를 빼고 고르면 이달 모임을 건너뜁니다. 포함하되 표시를 다르게 하세요.</t>
  </si>
  <si>
    <t>공지·활동 미리보기</t>
  </si>
  <si>
    <t>최근 글 몇 건.</t>
  </si>
  <si>
    <t>제목이 길면 줄이 넘칩니다. 한 줄로 자르세요.</t>
  </si>
  <si>
    <t>업장 카드 + 검색창 + 더보기.</t>
  </si>
  <si>
    <t>검색은 목록 화면으로 넘기세요. 두 곳에 만들면 한쪽만 고치게 됩니다.</t>
  </si>
  <si>
    <t>팝업 공지</t>
  </si>
  <si>
    <t>기간을 정해 뜨는 알림창.</t>
  </si>
  <si>
    <t>겹침 순서를 반드시 확인. 팝업이 헤더 위에 있으면 휴대폰에서 메뉴가 안 눌립니다.</t>
  </si>
  <si>
    <t>누가 자주 오는지 순위.</t>
  </si>
  <si>
    <t>회원 로그인</t>
  </si>
  <si>
    <t>로그인한 회원만 셀 수 있습니다. 하루 한 번만 세야 뜻이 있습니다.</t>
  </si>
  <si>
    <t>월별 달력.</t>
  </si>
  <si>
    <t>상</t>
  </si>
  <si>
    <t>6시간</t>
  </si>
  <si>
    <t>행사가 월 1건 이하면 목록이 낫습니다.</t>
  </si>
  <si>
    <t>기관 사이트 묶음.</t>
  </si>
  <si>
    <t>주소가 살아 있는지 하나씩 확인하세요. 죽은 링크 하나면 전체가 의심받습니다.</t>
  </si>
  <si>
    <t>카드 목록</t>
  </si>
  <si>
    <t>사진 + 이름 + 분류 + 지역.</t>
  </si>
  <si>
    <t>4시간</t>
  </si>
  <si>
    <t>자료</t>
  </si>
  <si>
    <t>화면 너비별 칸 수에 맞춰 끊어야 마지막 줄이 비지 않습니다.</t>
  </si>
  <si>
    <t>검색</t>
  </si>
  <si>
    <t>이름·분류·대표자·지역 등 통합 검색.</t>
  </si>
  <si>
    <t>숨은 항목(대표자명·키워드)도 검색되게 하면 훨씬 잘 찾습니다.</t>
  </si>
  <si>
    <t>업종·지역 거르기</t>
  </si>
  <si>
    <t>칩 버튼.</t>
  </si>
  <si>
    <t>분류 체계</t>
  </si>
  <si>
    <t>한 곳이 두 업종을 겸하는 경우가 많습니다. 여러 개 고를 수 있게 하세요.</t>
  </si>
  <si>
    <t>노출 순서 랜덤</t>
  </si>
  <si>
    <t>볼 때마다 순서가 바뀝니다.</t>
  </si>
  <si>
    <t>서버에서 섞으면 모두 같은 순서를 봅니다. 화면이 뜬 뒤 브라우저에서 섞어야 사람마다 달라집니다.</t>
  </si>
  <si>
    <t>우선 노출 지정</t>
  </si>
  <si>
    <t>관리자가 정한 곳을 맨 위에.</t>
  </si>
  <si>
    <t>임원 업장을 통째로 위에 몰면 첫 화면이 전부 임원으로 찹니다.</t>
  </si>
  <si>
    <t>상세 화면</t>
  </si>
  <si>
    <t>사진 · 정보 · 소개 · 링크.</t>
  </si>
  <si>
    <t>5시간</t>
  </si>
  <si>
    <t>사진이 없는 곳이 꼭 있습니다. 빈 칸에 로고를 넣어 두면 덜 허전합니다.</t>
  </si>
  <si>
    <t>사진 갤러리</t>
  </si>
  <si>
    <t>눌러서 크게 보기 · 좌우 넘기기.</t>
  </si>
  <si>
    <t>닫기 버튼이 헤더에 가리지 않게 겹침 순서를 확인하세요.</t>
  </si>
  <si>
    <t>지도</t>
  </si>
  <si>
    <t>위치 표시.</t>
  </si>
  <si>
    <t>지도 API 키 · 좌표</t>
  </si>
  <si>
    <t>네이버·카카오 모두 키가 필요합니다. 좌표를 미리 확보해 두세요.</t>
  </si>
  <si>
    <t>전화걸기 · 길찾기</t>
  </si>
  <si>
    <t>휴대폰에서 바로 연결.</t>
  </si>
  <si>
    <t>전화번호 · 주소</t>
  </si>
  <si>
    <t>번호 공개 여부를 업장이 고를 수 있게 하세요.</t>
  </si>
  <si>
    <t>게시판</t>
  </si>
  <si>
    <t>글 목록 · 상세</t>
  </si>
  <si>
    <t>공지·활동·행사.</t>
  </si>
  <si>
    <t>주소(slug)를 한글로 만들면 404 가 납니다. 영문·숫자만 쓰세요.</t>
  </si>
  <si>
    <t>카테고리 · 탭</t>
  </si>
  <si>
    <t>종류별로 나눠 보기.</t>
  </si>
  <si>
    <t>사진 여러 장</t>
  </si>
  <si>
    <t>본문에 사진 묶음.</t>
  </si>
  <si>
    <t>업로드 용량 제한을 반드시 확인하세요. 아래 함정노트 참고.</t>
  </si>
  <si>
    <t>조회수</t>
  </si>
  <si>
    <t>몇 명이 봤는지.</t>
  </si>
  <si>
    <t>새로고침마다 세면 뜻이 없습니다.</t>
  </si>
  <si>
    <t>첨부파일</t>
  </si>
  <si>
    <t>한글·PDF 내려받기.</t>
  </si>
  <si>
    <t>저장소</t>
  </si>
  <si>
    <t>회원 전용이면 잠깐만 열리는 주소를 쓰세요.</t>
  </si>
  <si>
    <t>이름·연락처·종류·내용.</t>
  </si>
  <si>
    <t>개인정보 동의 문구가 반드시 필요합니다.</t>
  </si>
  <si>
    <t>관리자에서 확인</t>
  </si>
  <si>
    <t>들어온 문의 목록 · 처리 표시.</t>
  </si>
  <si>
    <t>종류별 담당자 알림</t>
  </si>
  <si>
    <t>가입 문의는 인사국, 제휴는 회장 등.</t>
  </si>
  <si>
    <t>알림 수단</t>
  </si>
  <si>
    <t>사람 이름이 아니라 직책으로 지정하세요. 임기가 바뀌어도 따라갑니다.</t>
  </si>
  <si>
    <t>로그인 (카카오)</t>
  </si>
  <si>
    <t>카카오 계정으로.</t>
  </si>
  <si>
    <t>카카오 개발자 등록</t>
  </si>
  <si>
    <t>돌아오는 주소를 콘솔과 Supabase 양쪽에 등록해야 합니다.</t>
  </si>
  <si>
    <t>로그인 (이메일)</t>
  </si>
  <si>
    <t>이메일+비밀번호.</t>
  </si>
  <si>
    <t>로그인 (네이버)</t>
  </si>
  <si>
    <t>네이버 계정으로.</t>
  </si>
  <si>
    <t>네이버 개발자 등록</t>
  </si>
  <si>
    <t>Supabase 기본 지원이 아니라 따로 만들어야 합니다.</t>
  </si>
  <si>
    <t>내 정보 화면</t>
  </si>
  <si>
    <t>로그인 후 첫 화면.</t>
  </si>
  <si>
    <t>이걸 안 만들면 로그인 성공해도 404 가 납니다. 실제로 겪었습니다.</t>
  </si>
  <si>
    <t>명단과 계정 잇기</t>
  </si>
  <si>
    <t>엑셀 명단과 로그인 계정 연결.</t>
  </si>
  <si>
    <t>기존 명단</t>
  </si>
  <si>
    <t>이름만으로 하면 남의 계정에 붙습니다. 이름+휴대폰 둘 다 맞아야 합니다.</t>
  </si>
  <si>
    <t>가입 신청</t>
  </si>
  <si>
    <t>이름·업장명·연락처만.</t>
  </si>
  <si>
    <t>많이 물어보면 안 씁니다. 세 개면 충분합니다.</t>
  </si>
  <si>
    <t>가입 승인</t>
  </si>
  <si>
    <t>관리자가 승인·반려.</t>
  </si>
  <si>
    <t>반려 사유가 신청자에게 보이게 하세요.</t>
  </si>
  <si>
    <t>권한 3단계</t>
  </si>
  <si>
    <t>운영자 · 임원 · 회원.</t>
  </si>
  <si>
    <t>직책 기준으로 권한을 주면 임기가 바뀌어도 손볼 일이 없습니다.</t>
  </si>
  <si>
    <t>본인 업장 수정</t>
  </si>
  <si>
    <t>회원이 자기 가게 정보를 고침.</t>
  </si>
  <si>
    <t>저장할 때마다 서버에서 본인 것이 맞는지 다시 확인해야 합니다. 화면만 믿으면 뚫립니다.</t>
  </si>
  <si>
    <t>정관 등 잠긴 자료.</t>
  </si>
  <si>
    <t>파일</t>
  </si>
  <si>
    <t>로그인한 회원에게 코드를 또 묻지 마세요.</t>
  </si>
  <si>
    <t>텔레그램 봇</t>
  </si>
  <si>
    <t>무료 알림.</t>
  </si>
  <si>
    <t>봇 토큰</t>
  </si>
  <si>
    <t>회원 번호는 본인이 봇에 말을 걸어야 생깁니다. 연결 절차를 반드시 만들어야 합니다.</t>
  </si>
  <si>
    <t>문의 알림</t>
  </si>
  <si>
    <t>문의가 오면 담당자에게.</t>
  </si>
  <si>
    <t>알림이 실패해도 문의 접수는 성공해야 합니다.</t>
  </si>
  <si>
    <t>단체 공지 발송</t>
  </si>
  <si>
    <t>전체 회원에게 한 번에.</t>
  </si>
  <si>
    <t>한 번에 다 보내면 막힙니다. 조금씩 끊어 보내세요.</t>
  </si>
  <si>
    <t>보내는 사람 이름</t>
  </si>
  <si>
    <t>'○○협회' 로 표시.</t>
  </si>
  <si>
    <t>없으면 무슨 알림인지 열어보기 전에는 모릅니다.</t>
  </si>
  <si>
    <t>외부연동</t>
  </si>
  <si>
    <t>네이버 플레이스 가져오기</t>
  </si>
  <si>
    <t>상호·주소·전화·사진·메뉴 자동 입력.</t>
  </si>
  <si>
    <t>플레이스 주소</t>
  </si>
  <si>
    <t>한글로 받으려면 언어 설정을 보내야 합니다. 연달아 부르면 막히니 쉬어 가며 하세요.</t>
  </si>
  <si>
    <t>엑셀 올리기/내려받기</t>
  </si>
  <si>
    <t>명단 관리.</t>
  </si>
  <si>
    <t>엑셀 양식</t>
  </si>
  <si>
    <t>표 제목 줄을 자동으로 알아보게 만들어야 합니다. 사람마다 제목을 다르게 씁니다.</t>
  </si>
  <si>
    <t>공공데이터 API</t>
  </si>
  <si>
    <t>지원사업 공고 등.</t>
  </si>
  <si>
    <t>인증키</t>
  </si>
  <si>
    <t>파일 하나만 링크된 자료는 연동이 안 됩니다. 진짜 API 인지 먼저 확인하세요.</t>
  </si>
  <si>
    <t>지도 API</t>
  </si>
  <si>
    <t>지도 API 키</t>
  </si>
  <si>
    <t>④ 관리자 화면</t>
  </si>
  <si>
    <t>누가 무엇을 직접 고칠 수 있어야 하는지. 자주 바뀌는 것만 고르는 편이 좋습니다.</t>
  </si>
  <si>
    <t>화면</t>
  </si>
  <si>
    <t>할 수 있는 일</t>
  </si>
  <si>
    <t>누가</t>
  </si>
  <si>
    <t>관리자 홈</t>
  </si>
  <si>
    <t>오늘 할 일 요약 — 새 문의, 승인 대기 인원, 다가오는 행사</t>
  </si>
  <si>
    <t>전체</t>
  </si>
  <si>
    <t>숫자만 크게 보여주면 충분합니다.</t>
  </si>
  <si>
    <t>메인 배너</t>
  </si>
  <si>
    <t>배너 사진·문구·버튼 링크 추가·수정·순서 바꾸기</t>
  </si>
  <si>
    <t>운영자</t>
  </si>
  <si>
    <t>사진 크기를 맞춰 올리게 자르기 기능을 같이 넣으세요.</t>
  </si>
  <si>
    <t>글 관리</t>
  </si>
  <si>
    <t>공지·활동·행사 쓰기·고치기·지우기, 사진 올리기</t>
  </si>
  <si>
    <t>임원 이상</t>
  </si>
  <si>
    <t>임시저장·공개 상태를 구분하세요.</t>
  </si>
  <si>
    <t>목록 관리</t>
  </si>
  <si>
    <t>업장·제품 등록·수정, 사진, 노출 순서, 공개 여부</t>
  </si>
  <si>
    <t>건수가 많으면 검색이 반드시 필요합니다. 100건 넘으면 찾는 데만 한참 걸립니다.</t>
  </si>
  <si>
    <t>조직도 관리</t>
  </si>
  <si>
    <t>임원 추가·수정, 직책, 소속, 순서, 사진</t>
  </si>
  <si>
    <t>사진 한 장으로 올리지 말고 사람 데이터로 그리게 하세요.</t>
  </si>
  <si>
    <t>팝업 관리</t>
  </si>
  <si>
    <t>팝업 만들기, 기간 지정, 이미지 자르기</t>
  </si>
  <si>
    <t>이미지 크기가 제각각이면 팝업 크기가 들쭉날쭉합니다. 자르기를 넣으세요.</t>
  </si>
  <si>
    <t>회원 관리</t>
  </si>
  <si>
    <t>가입 승인·반려, 권한 바꾸기, 명단 엑셀 올리기/내려받기</t>
  </si>
  <si>
    <t>인사 담당</t>
  </si>
  <si>
    <t>승인 대기를 맨 위에 두세요. 아래에 있으면 못 보고 지나칩니다.</t>
  </si>
  <si>
    <t>문의 관리</t>
  </si>
  <si>
    <t>들어온 문의 확인, 처리 표시</t>
  </si>
  <si>
    <t>알림 관리</t>
  </si>
  <si>
    <t>전체 공지 보내기, 종류별 담당자 지정, 사용법 안내</t>
  </si>
  <si>
    <t>회원에게 보낼 안내문을 복사 버튼으로 두면 매번 새로 쓰지 않아도 됩니다.</t>
  </si>
  <si>
    <t>협회 정보</t>
  </si>
  <si>
    <t>연락처·주소·운영시간·SNS·대표 사진</t>
  </si>
  <si>
    <t>임기가 끝나면 다음 분이 고쳐야 합니다. 코드가 아니라 화면에서 고치게 하세요.</t>
  </si>
  <si>
    <t>화면 문구</t>
  </si>
  <si>
    <t>메뉴별 상단 띠 문구·색·크기·버튼</t>
  </si>
  <si>
    <t>이걸 넣으면 사소한 문구 수정 요청이 사라집니다.</t>
  </si>
  <si>
    <t>SEO 설정</t>
  </si>
  <si>
    <t>검색 제목·설명·키워드·대표 이미지·소유확인 코드</t>
  </si>
  <si>
    <t>로고 관리</t>
  </si>
  <si>
    <t>로고 파일 올리기</t>
  </si>
  <si>
    <t>배포된 사이트에서는 파일을 못 올립니다. 내 컴퓨터에서 올리고 올려보내야 합니다.</t>
  </si>
  <si>
    <t>⑤ 계정 만들고 연결하기</t>
  </si>
  <si>
    <t>위에서부터 차례로. 처음이면 여기가 제일 막히는 곳입니다. 끝낸 것은 [완료] 칸에 O.</t>
  </si>
  <si>
    <t>서비스</t>
  </si>
  <si>
    <t>어디서</t>
  </si>
  <si>
    <t>돈</t>
  </si>
  <si>
    <t>완료</t>
  </si>
  <si>
    <t>GitHub</t>
  </si>
  <si>
    <t>가입하고 저장소(repository)를 하나 만듭니다. 비공개로.</t>
  </si>
  <si>
    <t>github.com</t>
  </si>
  <si>
    <t>20분</t>
  </si>
  <si>
    <t>무료</t>
  </si>
  <si>
    <t>저장소에 열쇠값(.env)을 절대 올리지 마세요. .gitignore 에 .env*.local 이 들어 있는지 확인.</t>
  </si>
  <si>
    <t>내 컴퓨터와 연결합니다 (git clone / push).</t>
  </si>
  <si>
    <t>터미널</t>
  </si>
  <si>
    <t>비밀번호가 아니라 토큰으로 로그인합니다. 만료되면 푸시가 403 으로 막힙니다.</t>
  </si>
  <si>
    <t>Supabase</t>
  </si>
  <si>
    <t>가입하고 프로젝트를 만듭니다. 지역은 서울(ap-northeast-2).</t>
  </si>
  <si>
    <t>supabase.com</t>
  </si>
  <si>
    <t>지역을 잘못 고르면 느려집니다. 나중에 못 바꿉니다.</t>
  </si>
  <si>
    <t>열쇠 3개를 적어 둡니다 — URL · anon key · service_role key.</t>
  </si>
  <si>
    <t>Settings &gt; API</t>
  </si>
  <si>
    <t>10분</t>
  </si>
  <si>
    <t>service_role 은 모든 잠금을 여는 열쇠입니다. 절대 남에게 보이지 마세요. 브라우저에서 쓰면 안 됩니다.</t>
  </si>
  <si>
    <t>표(테이블)를 만듭니다. SQL 로 한 번에 만드는 편이 빠릅니다.</t>
  </si>
  <si>
    <t>SQL Editor</t>
  </si>
  <si>
    <t>07_DB설계 탭 참고. 나중에 바꾸기 제일 어렵습니다.</t>
  </si>
  <si>
    <t>RLS(잠금)를 켜고 정책을 넣습니다.</t>
  </si>
  <si>
    <t>Authentication &gt; Policies</t>
  </si>
  <si>
    <t>RLS 를 안 켜면 누구나 회원 전화번호를 읽어갑니다. 반드시 켜세요.</t>
  </si>
  <si>
    <t>저장소(Storage)를 만듭니다 — 공개용 1개, 비공개용 1개.</t>
  </si>
  <si>
    <t>Storage</t>
  </si>
  <si>
    <t>회원 전용 파일은 반드시 비공개 저장소에. 공개 저장소는 주소만 알면 누구나 봅니다.</t>
  </si>
  <si>
    <t>Vercel</t>
  </si>
  <si>
    <t>가입하고 GitHub 저장소를 연결합니다.</t>
  </si>
  <si>
    <t>vercel.com</t>
  </si>
  <si>
    <t>GitHub 계정으로 가입하면 연결이 자동입니다.</t>
  </si>
  <si>
    <t>환경변수를 넣습니다.</t>
  </si>
  <si>
    <t>Settings &gt; Environment Variables</t>
  </si>
  <si>
    <t>Production·Preview·Development 세 곳 다 체크. 하나라도 빠지면 그 환경에서만 안 됩니다.</t>
  </si>
  <si>
    <t>배포합니다. 이후로는 push 하면 자동 배포됩니다.</t>
  </si>
  <si>
    <t>Deployments</t>
  </si>
  <si>
    <t>환경변수를 바꾸면 반드시 Redeploy 해야 반영됩니다.</t>
  </si>
  <si>
    <t>도메인</t>
  </si>
  <si>
    <t>도메인을 사서 Vercel 에 연결합니다.</t>
  </si>
  <si>
    <t>가비아 등 + Vercel Domains</t>
  </si>
  <si>
    <t>연 1~2만원</t>
  </si>
  <si>
    <t>연결 후 퍼지는 데 몇 시간 걸립니다. 한글 도메인은 xn-- 로 보이는 문제가 있습니다.</t>
  </si>
  <si>
    <t>NEXT_PUBLIC_SITE_URL 을 새 주소로 바꿉니다.</t>
  </si>
  <si>
    <t>Vercel 환경변수</t>
  </si>
  <si>
    <t>안 바꾸면 sitemap 과 공유 미리보기가 옛 주소로 나갑니다.</t>
  </si>
  <si>
    <t>검색엔진</t>
  </si>
  <si>
    <t>네이버 서치어드바이저 · 구글 서치콘솔에 등록.</t>
  </si>
  <si>
    <t>각 사이트</t>
  </si>
  <si>
    <t>소유확인은 HTML 태그 방식. 검색 결과에 반영되는 데 1~4주 걸립니다.</t>
  </si>
  <si>
    <t>카카오 로그인</t>
  </si>
  <si>
    <t>개발자 등록 &gt; 앱 만들기 &gt; 카카오 로그인 켜기.</t>
  </si>
  <si>
    <t>developers.kakao.com</t>
  </si>
  <si>
    <t>돌아오는 주소(Redirect URI)를 카카오와 Supabase 양쪽에 똑같이 넣어야 합니다.</t>
  </si>
  <si>
    <t>텔레그램</t>
  </si>
  <si>
    <t>@BotFather 에게 /newbot 을 보내 봇을 만듭니다.</t>
  </si>
  <si>
    <t>텔레그램 앱</t>
  </si>
  <si>
    <t>토큰은 비밀번호입니다. 남에게 보였으면 /revoke 로 새로 받으세요.</t>
  </si>
  <si>
    <t>공공데이터</t>
  </si>
  <si>
    <t>필요한 API 를 활용신청합니다.</t>
  </si>
  <si>
    <t>data.go.kr 등</t>
  </si>
  <si>
    <t>30분 + 승인대기</t>
  </si>
  <si>
    <t>개발계정은 자동승인 30분, 운영계정은 1~2일 걸립니다. 미리 신청해 두세요.</t>
  </si>
  <si>
    <t>⑥ 열쇠값(환경변수)</t>
  </si>
  <si>
    <t>Vercel 에 넣는 값들입니다. 빠뜨리면 그 기능만 조용히 안 돕니다.</t>
  </si>
  <si>
    <t>변수 이름</t>
  </si>
  <si>
    <t>무엇</t>
  </si>
  <si>
    <t>어디서 받나</t>
  </si>
  <si>
    <t>없으면 생기는 일</t>
  </si>
  <si>
    <t>브라우저 노출</t>
  </si>
  <si>
    <t>NEXT_PUBLIC_SUPABASE_URL</t>
  </si>
  <si>
    <t>DB 주소</t>
  </si>
  <si>
    <t>Supabase &gt; Settings &gt; API</t>
  </si>
  <si>
    <t>홈페이지가 자료를 못 읽습니다.</t>
  </si>
  <si>
    <t>공개됨</t>
  </si>
  <si>
    <t>NEXT_PUBLIC_SUPABASE_ANON_KEY</t>
  </si>
  <si>
    <t>손님용 열쇠</t>
  </si>
  <si>
    <t>같음.</t>
  </si>
  <si>
    <t>SUPABASE_SERVICE_ROLE_KEY</t>
  </si>
  <si>
    <t>관리자용 열쇠</t>
  </si>
  <si>
    <t>글쓰기·회원관리가 전부 안 됩니다.</t>
  </si>
  <si>
    <t>절대 비공개</t>
  </si>
  <si>
    <t>SUPABASE_DB_URL</t>
  </si>
  <si>
    <t>DB 직접 접속 주소</t>
  </si>
  <si>
    <t>Supabase &gt; Settings &gt; Database</t>
  </si>
  <si>
    <t>표 만들기 명령을 못 돌립니다.</t>
  </si>
  <si>
    <t>NEXT_PUBLIC_SITE_URL</t>
  </si>
  <si>
    <t>홈페이지 주소</t>
  </si>
  <si>
    <t>직접 입력</t>
  </si>
  <si>
    <t>sitemap·공유 미리보기가 옛 주소로 나갑니다.</t>
  </si>
  <si>
    <t>TELEGRAM_BOT_TOKEN</t>
  </si>
  <si>
    <t>알림 봇 열쇠</t>
  </si>
  <si>
    <t>텔레그램 @BotFather</t>
  </si>
  <si>
    <t>알림이 아무에게도 안 갑니다.</t>
  </si>
  <si>
    <t>TELEGRAM_BOT_USERNAME</t>
  </si>
  <si>
    <t>봇 아이디</t>
  </si>
  <si>
    <t>BotFather 가 알려준 이름</t>
  </si>
  <si>
    <t>'봇 열기' 버튼이 안 나옵니다.</t>
  </si>
  <si>
    <t>비공개</t>
  </si>
  <si>
    <t>CRON_SECRET</t>
  </si>
  <si>
    <t>자동 실행 열쇠</t>
  </si>
  <si>
    <t>직접 만든 긴 글자</t>
  </si>
  <si>
    <t>매일 자동으로 도는 일이 안 돕니다.</t>
  </si>
  <si>
    <t>BIZINFO_API_KEY</t>
  </si>
  <si>
    <t>지원사업 API</t>
  </si>
  <si>
    <t>bizinfo.go.kr</t>
  </si>
  <si>
    <t>지원사업 공고를 못 가져옵니다.</t>
  </si>
  <si>
    <t>TOUR_API_KEY</t>
  </si>
  <si>
    <t>행사 API</t>
  </si>
  <si>
    <t>공공데이터포털</t>
  </si>
  <si>
    <t>행사 정보를 못 가져옵니다.</t>
  </si>
  <si>
    <t>NEXT_PUBLIC_MAP_CLIENT_ID</t>
  </si>
  <si>
    <t>네이버/카카오 개발자</t>
  </si>
  <si>
    <t>지도가 안 나옵니다.</t>
  </si>
  <si>
    <t>NEXT_PUBLIC_ 으로 시작하는 것은 브라우저에서 누구나 볼 수 있습니다. 비밀이 아닌 것만 넣으세요.</t>
  </si>
  <si>
    <t>그 외 변수는 서버에만 있습니다. 화면 코드에서 쓰면 안 됩니다.</t>
  </si>
  <si>
    <t>값을 바꾼 뒤에는 반드시 Redeploy 해야 반영됩니다.</t>
  </si>
  <si>
    <t>내 컴퓨터에서는 .env.local 파일에 같은 내용을 넣습니다. 이 파일은 절대 저장소에 올리지 마세요.</t>
  </si>
  <si>
    <t>⑦ 자료 표 구조</t>
  </si>
  <si>
    <t>나중에 바꾸기 제일 어려운 부분입니다. 처음에 잘 잡아야 합니다.</t>
  </si>
  <si>
    <t>표 이름</t>
  </si>
  <si>
    <t>무엇을 담나</t>
  </si>
  <si>
    <t>주요 칸</t>
  </si>
  <si>
    <t>잠금(RLS)</t>
  </si>
  <si>
    <t>site_settings</t>
  </si>
  <si>
    <t>홈페이지 설정 모음 (연락처·문구·배너·SEO 등)</t>
  </si>
  <si>
    <t>key, value(JSON), updated_at</t>
  </si>
  <si>
    <t>읽기 공개 / 쓰기 관리자</t>
  </si>
  <si>
    <t>칸을 따로 만들지 말고 JSON 한 칸에 담으면 설정이 늘어도 표를 안 고쳐도 됩니다.</t>
  </si>
  <si>
    <t>posts</t>
  </si>
  <si>
    <t>공지·활동·행사 글</t>
  </si>
  <si>
    <t>type, title, slug, date, date_tbd, time, place, body, cover_image, status</t>
  </si>
  <si>
    <t>읽기 공개(공개글만) / 쓰기 관리자</t>
  </si>
  <si>
    <t>slug 는 영문·숫자만. 한글이 들어가면 404 가 납니다. 날짜 미정 표시를 따로 두세요.</t>
  </si>
  <si>
    <t>post_photos</t>
  </si>
  <si>
    <t>글에 붙는 사진</t>
  </si>
  <si>
    <t>post_id, url, caption, sort_order</t>
  </si>
  <si>
    <t>posts 와 같음</t>
  </si>
  <si>
    <t>순서 칸을 꼭 두세요. 없으면 올린 순서가 뒤죽박죽됩니다.</t>
  </si>
  <si>
    <t>businesses</t>
  </si>
  <si>
    <t>업장·제품 목록</t>
  </si>
  <si>
    <t>slug, name, category, categories[], owner_name, address, phone, hours, lat, lng, cover_image, status, priority</t>
  </si>
  <si>
    <t>읽기 공개(공개만) / 쓰기 관리자</t>
  </si>
  <si>
    <t>겸업이 흔하니 분류는 여러 개 담을 수 있게. 좌표는 미리 받아 두면 지도를 나중에 붙일 수 있습니다.</t>
  </si>
  <si>
    <t>business_photos</t>
  </si>
  <si>
    <t>업장 사진</t>
  </si>
  <si>
    <t>business_id, url, caption, sort_order</t>
  </si>
  <si>
    <t>businesses 와 같음</t>
  </si>
  <si>
    <t>business_private</t>
  </si>
  <si>
    <t>사업자등록번호 등 민감정보</t>
  </si>
  <si>
    <t>business_id, biz_reg_no, biz_type, employee_count</t>
  </si>
  <si>
    <t>정책 없음 (관리자만)</t>
  </si>
  <si>
    <t>공개 표에 절대 넣지 마세요. 칸 하나 늘리는 순간 그대로 노출됩니다.</t>
  </si>
  <si>
    <t>members</t>
  </si>
  <si>
    <t>회원 명단</t>
  </si>
  <si>
    <t>name, phone, email, shop_name, role, status, account_id, telegram_chat_id, visit_count</t>
  </si>
  <si>
    <t>본인 것만 / 관리자 전체</t>
  </si>
  <si>
    <t>전화번호가 들어 있습니다. 잠금을 반드시 켜세요. 로그인 계정(account_id)은 나중에 이어 붙입니다.</t>
  </si>
  <si>
    <t>org_members</t>
  </si>
  <si>
    <t>member_id, name, title, sub_title, group, department, sort_order</t>
  </si>
  <si>
    <t>사람 이름이 아니라 직책으로 권한·알림을 걸면 임기가 바뀌어도 손볼 일이 없습니다.</t>
  </si>
  <si>
    <t>inquiries</t>
  </si>
  <si>
    <t>kind, name, phone, company, message, privacy_agreed, handled</t>
  </si>
  <si>
    <t>쓰기만 공개 / 읽기 관리자</t>
  </si>
  <si>
    <t>누구나 쓸 수 있고 아무도 못 읽게. 읽기를 열면 남의 문의가 다 보입니다.</t>
  </si>
  <si>
    <t>popups</t>
  </si>
  <si>
    <t>title, body, image_url, link_url, start_at, end_at, status</t>
  </si>
  <si>
    <t>기간이 지나면 저절로 안 뜨게 하세요.</t>
  </si>
  <si>
    <t>feed_items</t>
  </si>
  <si>
    <t>외부에서 모아온 소식</t>
  </si>
  <si>
    <t>source, external_id, title, link, ends_on, notified_at</t>
  </si>
  <si>
    <t>source+external_id 를 유일하게 두어야 같은 공고를 두 번 안 보냅니다.</t>
  </si>
  <si>
    <t>표를 만들 때 반드시 지킬 것</t>
  </si>
  <si>
    <t>1. RLS(잠금)를 모든 표에 켠다. 안 켜면 주소만 알면 누구나 전부 읽어갑니다.</t>
  </si>
  <si>
    <t>2. 공개 표에는 민감정보를 넣지 않는다. 전화번호·주민번호·사업자번호는 별도 표로.</t>
  </si>
  <si>
    <t>3. 표 구조를 바꾸는 명령은 파일로 남긴다(마이그레이션). 나중에 무엇을 왜 바꿨는지 알 수 있습니다.</t>
  </si>
  <si>
    <t>4. 지우기(delete)보다 상태 칸(status)을 두고 '숨김' 으로 두는 편이 안전합니다.</t>
  </si>
  <si>
    <t>5. 만든 시각·고친 시각 칸을 모든 표에 두세요. 문제가 생겼을 때 추적의 시작점입니다.</t>
  </si>
  <si>
    <t>⑧ 실제로 겪은 문제와 해결</t>
  </si>
  <si>
    <t>이 탭이 시간을 가장 많이 아껴줍니다. 원청협 홈페이지를 만들며 실제로 막혔던 것들입니다.</t>
  </si>
  <si>
    <t>번호</t>
  </si>
  <si>
    <t>증상</t>
  </si>
  <si>
    <t>진짜 원인</t>
  </si>
  <si>
    <t>해결</t>
  </si>
  <si>
    <t>허비한 시간</t>
  </si>
  <si>
    <t>배포</t>
  </si>
  <si>
    <t>사진 몇 장 올리면 흰 오류 화면</t>
  </si>
  <si>
    <t>Vercel 은 서버로 보내는 요청을 4.5MB 로 제한합니다. 설정을 아무리 키워도 그 앞에서 막힙니다.</t>
  </si>
  <si>
    <t>사진을 서버로 보내지 말고 브라우저에서 저장소로 바로 올리고, 서버에는 주소(글자)만 보냅니다.</t>
  </si>
  <si>
    <t>반나절</t>
  </si>
  <si>
    <t>관리자에서 글을 고쳐도 홈페이지에 안 바뀜</t>
  </si>
  <si>
    <t>화면을 하루 동안 저장해 두는 설정. 고쳐도 저장된 화면이 계속 나옵니다.</t>
  </si>
  <si>
    <t>저장할 때마다 전체 화면을 다시 그리게 하고, 안전망 시간을 1분으로 줄입니다.</t>
  </si>
  <si>
    <t>휴대폰에서 메뉴 버튼이 안 눌림</t>
  </si>
  <si>
    <t>팝업의 투명한 덮개가 헤더 위에 있었습니다. 눈에 안 보여서 원인을 찾기 어렵습니다.</t>
  </si>
  <si>
    <t>겹침 순서(z-index)를 정리. 헤더가 팝업보다 위에 있어야 합니다.</t>
  </si>
  <si>
    <t>사진 크게 보기에서 닫기 버튼이 안 보임</t>
  </si>
  <si>
    <t>같은 문제. 덮개가 헤더보다 아래에 있었습니다.</t>
  </si>
  <si>
    <t>덮개를 헤더보다 위로 올리고, 버튼에 '닫기' 글자도 같이 넣습니다.</t>
  </si>
  <si>
    <t>글</t>
  </si>
  <si>
    <t>글을 눌렀는데 '찾을 수 없습니다'</t>
  </si>
  <si>
    <t>글 주소에 한글이 들어갔습니다. 주소에 한글이 섞이면 깨집니다.</t>
  </si>
  <si>
    <t>주소는 영문·숫자만 쓰고, 한글 제목이면 날짜+임의 글자로 만듭니다.</t>
  </si>
  <si>
    <t>폼</t>
  </si>
  <si>
    <t>문의가 저장됐는데 화면에는 '접수 실패'</t>
  </si>
  <si>
    <t>저장 후 입력칸을 비우는 코드가 오류를 냈고, 그 오류를 '접수 실패'로 잘못 처리했습니다.</t>
  </si>
  <si>
    <t>폼 정보를 미리 붙잡아 두고, 성공 여부는 응답 코드로만 판단합니다.</t>
  </si>
  <si>
    <t>날짜</t>
  </si>
  <si>
    <t>날짜가 하루 밀리거나 아침 9시에 바뀜</t>
  </si>
  <si>
    <t>서버는 영국 시간으로 돌아갑니다. 한국 자정이 아니라 오전 9시에 날짜가 바뀝니다.</t>
  </si>
  <si>
    <t>날짜를 만들 때 9시간을 더해 한국 날짜로 맞춥니다.</t>
  </si>
  <si>
    <t>주소창에 xn--ob0bs... 같은 글자</t>
  </si>
  <si>
    <t>한글 도메인은 통신할 때 반드시 그 형태로 바뀝니다. 서버로는 못 고칩니다.</t>
  </si>
  <si>
    <t>우리가 만들어 내보내는 링크만 한글로. 주소창 표시는 브라우저가 정합니다. 영문 도메인을 같이 쓰는 편이 낫습니다.</t>
  </si>
  <si>
    <t>'랜덤' 인데 늘 같은 곳만 위에</t>
  </si>
  <si>
    <t>서버에서 섞으면 그 결과가 저장돼 모두가 같은 순서를 봅니다.</t>
  </si>
  <si>
    <t>화면이 뜬 뒤 브라우저에서 다시 섞습니다.</t>
  </si>
  <si>
    <t>첫 화면이 전부 임원 업장</t>
  </si>
  <si>
    <t>임원 업장을 한 덩어리로 위에 몰아 놨는데 그게 27곳이었습니다.</t>
  </si>
  <si>
    <t>구분 없이 전부 같이 섞고, 관리자가 지정한 몇 곳만 위에 둡니다.</t>
  </si>
  <si>
    <t>외부</t>
  </si>
  <si>
    <t>가게 이름이 영어로 들어옴</t>
  </si>
  <si>
    <t>네이버에 언어 설정을 안 보내면 로마자로 돌려줍니다.</t>
  </si>
  <si>
    <t>요청에 한국어 설정을 같이 보냅니다.</t>
  </si>
  <si>
    <t>50곳쯤 가져오다가 갑자기 전부 실패</t>
  </si>
  <si>
    <t>연달아 부르면 상대 쪽에서 막습니다.</t>
  </si>
  <si>
    <t>한 곳마다 쉬고, 막히면 기다렸다가 다시 부릅니다.</t>
  </si>
  <si>
    <t>엑셀</t>
  </si>
  <si>
    <t>엑셀 제목 줄을 엉뚱하게 알아봄</t>
  </si>
  <si>
    <t>'참석하신 대표님 성함' 같은 제목, 동의서 문단을 전화번호로 인식.</t>
  </si>
  <si>
    <t>뜻이 분명한 단어를 먼저 보고, 한 칸이 두 항목에 배정되지 않게 하고, 너무 긴 글은 제목에서 제외합니다.</t>
  </si>
  <si>
    <t>알림이 아무에게도 안 감</t>
  </si>
  <si>
    <t>받을 사람의 번호가 하나도 등록돼 있지 않았습니다. 그 번호는 본인이 봇에 말을 걸어야 생깁니다.</t>
  </si>
  <si>
    <t>회원이 스스로 연결하는 절차(코드 방식)를 만듭니다.</t>
  </si>
  <si>
    <t>로그인 성공했는데 404</t>
  </si>
  <si>
    <t>로그인 후 보낼 화면을 안 만들었습니다.</t>
  </si>
  <si>
    <t>로그인 기능을 넣을 때 '내 정보' 화면을 같이 만듭니다.</t>
  </si>
  <si>
    <t>개발</t>
  </si>
  <si>
    <t>갑자기 화면이 깨지고 이상한 오류</t>
  </si>
  <si>
    <t>개발 서버를 켜 둔 채로 빌드를 돌렸습니다.</t>
  </si>
  <si>
    <t>빌드 전에 개발 서버를 끕니다. 이미 깨졌으면 .next 폴더를 지우고 다시 빌드합니다.</t>
  </si>
  <si>
    <t>확인</t>
  </si>
  <si>
    <t>화면을 직접 안 보고 '고쳤다'고 판단</t>
  </si>
  <si>
    <t>코드만 보고 판단하면 실제로는 안 고쳐진 경우가 있습니다.</t>
  </si>
  <si>
    <t>고친 뒤 반드시 실제 화면에서 확인합니다. 휴대폰 크기로도 봅니다.</t>
  </si>
  <si>
    <t>여러 번</t>
  </si>
  <si>
    <t>협업</t>
  </si>
  <si>
    <t>'푸시가 안 됐다'는 잘못된 보고</t>
  </si>
  <si>
    <t>한 번 본 상태를 계속 사실로 말했습니다.</t>
  </si>
  <si>
    <t>상태를 말하기 전에 매번 다시 확인합니다.</t>
  </si>
  <si>
    <t>⑨ 1~2일 작업 순서</t>
  </si>
  <si>
    <t>시작 전 준비가 끝나 있으면 이틀이면 됩니다. 준비가 안 되면 일주일이 걸립니다.</t>
  </si>
  <si>
    <t>때</t>
  </si>
  <si>
    <t>할 일</t>
  </si>
  <si>
    <t>메모</t>
  </si>
  <si>
    <t>시작 전</t>
  </si>
  <si>
    <t>이 파일의 01·02·03·04 탭을 채웁니다</t>
  </si>
  <si>
    <t>대표님</t>
  </si>
  <si>
    <t>여기에 쓴 시간이 뒤에서 몇 배로 돌아옵니다.</t>
  </si>
  <si>
    <t>로고·사진·기존 명단 엑셀을 한 폴더에 모읍니다</t>
  </si>
  <si>
    <t>중간에 찾으러 다니면 흐름이 끊깁니다.</t>
  </si>
  <si>
    <t>GitHub·Supabase·Vercel 가입</t>
  </si>
  <si>
    <t>05_연동절차 1~4번.</t>
  </si>
  <si>
    <t>1일차 오전</t>
  </si>
  <si>
    <t>표(DB) 만들기 + 잠금 설정</t>
  </si>
  <si>
    <t>저</t>
  </si>
  <si>
    <t>07_DB설계 탭대로.</t>
  </si>
  <si>
    <t>기본 틀 — 헤더·푸터·색·글꼴·로고</t>
  </si>
  <si>
    <t>여기서 색과 글꼴을 정하면 이후가 빨라집니다.</t>
  </si>
  <si>
    <t>1일차 오후</t>
  </si>
  <si>
    <t>메뉴별 화면 만들기</t>
  </si>
  <si>
    <t>02_메뉴구성 탭대로.</t>
  </si>
  <si>
    <t>관리자 화면 만들기</t>
  </si>
  <si>
    <t>04_관리자 탭대로.</t>
  </si>
  <si>
    <t>2일차 오전</t>
  </si>
  <si>
    <t>자료 넣기 — 명단·업장·글</t>
  </si>
  <si>
    <t>저 + 대표님</t>
  </si>
  <si>
    <t>엑셀이 있으면 한 번에. 없으면 여기가 제일 오래 걸립니다.</t>
  </si>
  <si>
    <t>고른 기능 붙이기</t>
  </si>
  <si>
    <t>03_기능목록 에서 O 한 것들.</t>
  </si>
  <si>
    <t>2일차 오후</t>
  </si>
  <si>
    <t>휴대폰 확인 · 고치기</t>
  </si>
  <si>
    <t>실제 휴대폰 크기로 전 화면을 봅니다.</t>
  </si>
  <si>
    <t>배포 · 도메인 · 검색엔진 등록</t>
  </si>
  <si>
    <t>도메인이 퍼지는 데 몇 시간 걸립니다. 미리 사 두세요.</t>
  </si>
  <si>
    <t>인수인계 — 관리자 사용법</t>
  </si>
  <si>
    <t>화면 보면서 한 번 같이 해보면 제일 빠릅니다.</t>
  </si>
  <si>
    <t>이후</t>
  </si>
  <si>
    <t>검색 결과 확인</t>
  </si>
  <si>
    <t>1~4주 뒤</t>
  </si>
  <si>
    <t>바로 안 나옵니다. 기다려야 합니다.</t>
  </si>
  <si>
    <t>⑩ 한 번에 말하기</t>
  </si>
  <si>
    <t>이 칸을 채워서 파일과 함께 주시면 되묻는 일이 거의 없어집니다.</t>
  </si>
  <si>
    <t>항목</t>
  </si>
  <si>
    <t>이렇게 적으시면 됩니다</t>
  </si>
  <si>
    <t>무엇을 만드나</t>
  </si>
  <si>
    <t>예) 원주 ○○협회 홈페이지. 회원 150명 규모의 단체 소개 + 회원업장 목록</t>
  </si>
  <si>
    <t>참고 홈페이지</t>
  </si>
  <si>
    <t>주소 2~3개. 말로 설명하는 것보다 훨씬 빠릅니다.</t>
  </si>
  <si>
    <t>예) 메인홈 / 소개 / 업장 / 활동 / 문의</t>
  </si>
  <si>
    <t>넣을 기능</t>
  </si>
  <si>
    <t>"03_기능목록 탭에서 O 한 것들" 이라고 적고 이 파일을 같이 주시면 됩니다.</t>
  </si>
  <si>
    <t>뺄 기능</t>
  </si>
  <si>
    <t>예) 지도·달력·방문순위는 뺍니다</t>
  </si>
  <si>
    <t>예) 회원 명단 엑셀 있음, 업장 사진은 네이버 플레이스에서 가져오면 됨</t>
  </si>
  <si>
    <t>로고·색</t>
  </si>
  <si>
    <t>예) 로고 가로형 PNG 있음. 대표색은 초록.</t>
  </si>
  <si>
    <t>예) 필요. 카카오+이메일. 승인은 인사 담당이.</t>
  </si>
  <si>
    <t>예) 텔레그램. 문의는 담당자에게, 공지는 전체에게.</t>
  </si>
  <si>
    <t>관리자</t>
  </si>
  <si>
    <t>예) 3명이 관리. 글·업장·팝업은 직접 고칠 수 있어야 함.</t>
  </si>
  <si>
    <t>예) wjsosang.com 을 살 예정</t>
  </si>
  <si>
    <t>기한</t>
  </si>
  <si>
    <t>예) 2일 안에</t>
  </si>
  <si>
    <t>특별히 중요한 것</t>
  </si>
  <si>
    <t>예) 휴대폰에서 잘 보이는 게 제일 중요</t>
  </si>
  <si>
    <t>위 칸을 채운 뒤, 이 파일을 그대로 주시면서 이렇게 말씀하시면 됩니다.</t>
  </si>
  <si>
    <t xml:space="preserve">   "가이드북 채워서 보낸다. 03_기능목록 에서 O 한 것만 넣어줘.</t>
  </si>
  <si>
    <t xml:space="preserve">    모르는 건 한 번에 모아서 물어봐."</t>
  </si>
  <si>
    <t>이렇게 하면 제가 중간에 되묻는 횟수가 크게 줄어 시간과 비용이 함께 줄어듭니다.</t>
  </si>
  <si>
    <t>반대로 이렇게 말씀하시면 오래 걸립니다.</t>
  </si>
  <si>
    <t xml:space="preserve">   "일단 만들어줘" → 만들고 나서 고치는 일이 반복됩니다.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</si>
</sst>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개&quot;"/>
  </numFmts>
  <fonts count="10" x14ac:knownFonts="1">
    <font>
      <color theme="1"/>
      <family val="2"/>
      <scheme val="minor"/>
      <sz val="11"/>
      <name val="Calibri"/>
    </font>
    <font>
      <b/>
      <color rgb="FFFFFFFF"/>
      <sz val="15"/>
      <name val="맑은 고딕"/>
    </font>
    <font>
      <color rgb="FF5B6B65"/>
      <sz val="10"/>
      <name val="맑은 고딕"/>
    </font>
    <font>
      <b/>
      <color rgb="FFFFFFFF"/>
      <sz val="10.5"/>
      <name val="맑은 고딕"/>
    </font>
    <font>
      <sz val="10"/>
      <name val="맑은 고딕"/>
    </font>
    <font>
      <b/>
      <color rgb="FF16413A"/>
      <sz val="10"/>
      <name val="맑은 고딕"/>
    </font>
    <font>
      <color rgb="FF3A4A44"/>
      <sz val="10"/>
      <name val="맑은 고딕"/>
    </font>
    <font>
      <b/>
      <color rgb="FF16413A"/>
      <sz val="11"/>
      <name val="맑은 고딕"/>
    </font>
    <font>
      <b/>
      <color rgb="FF0F7A63"/>
      <sz val="11"/>
      <name val="맑은 고딕"/>
    </font>
    <font>
      <b/>
      <color rgb="FFB83227"/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6413A"/>
      </patternFill>
    </fill>
    <fill>
      <patternFill patternType="solid">
        <fgColor rgb="FF2F5D52"/>
      </patternFill>
    </fill>
    <fill>
      <patternFill patternType="solid">
        <fgColor rgb="FFF7F9F8"/>
      </patternFill>
    </fill>
    <fill>
      <patternFill patternType="solid">
        <fgColor rgb="FFFFF6D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6413A"/>
      </bottom>
      <diagonal/>
    </border>
    <border>
      <left/>
      <right/>
      <top/>
      <bottom style="hair">
        <color rgb="FFDDE5E1"/>
      </bottom>
      <diagonal/>
    </border>
    <border>
      <left style="thin">
        <color rgb="FFE0B94A"/>
      </left>
      <right style="thin">
        <color rgb="FFE0B94A"/>
      </right>
      <top/>
      <bottom style="hair">
        <color rgb="FFDDE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indent="1"/>
    </xf>
    <xf numFmtId="0" fontId="4" fillId="0" borderId="0" xfId="0" applyFont="1" applyAlignment="1">
      <alignment indent="1"/>
    </xf>
    <xf numFmtId="164" fontId="8" fillId="0" borderId="0" xfId="0" applyNumberFormat="1" applyFont="1" applyAlignment="1">
      <alignment horizontal="left" indent="1"/>
    </xf>
    <xf numFmtId="0" fontId="4" fillId="5" borderId="3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22" customWidth="1"/>
    <col min="3" max="3" width="52" customWidth="1"/>
    <col min="4" max="4" width="20" customWidth="1"/>
    <col min="5" max="5" width="13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3" ht="24" customHeight="1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s="4">
        <v>1</v>
      </c>
      <c r="B4" s="4" t="s">
        <v>7</v>
      </c>
      <c r="C4" s="4" t="s">
        <v>8</v>
      </c>
      <c r="D4" s="4" t="s">
        <v>9</v>
      </c>
      <c r="E4" s="4" t="s">
        <v>10</v>
      </c>
    </row>
    <row r="5" spans="1:5" x14ac:dyDescent="0.25">
      <c r="A5" s="5">
        <v>2</v>
      </c>
      <c r="B5" s="5" t="s">
        <v>11</v>
      </c>
      <c r="C5" s="5" t="s">
        <v>12</v>
      </c>
      <c r="D5" s="5" t="s">
        <v>13</v>
      </c>
      <c r="E5" s="5" t="s">
        <v>14</v>
      </c>
    </row>
    <row r="6" spans="1:5" x14ac:dyDescent="0.25">
      <c r="A6" s="4">
        <v>3</v>
      </c>
      <c r="B6" s="4" t="s">
        <v>15</v>
      </c>
      <c r="C6" s="4" t="s">
        <v>16</v>
      </c>
      <c r="D6" s="4" t="s">
        <v>17</v>
      </c>
      <c r="E6" s="4" t="s">
        <v>10</v>
      </c>
    </row>
    <row r="7" spans="1:5" x14ac:dyDescent="0.25">
      <c r="A7" s="5">
        <v>4</v>
      </c>
      <c r="B7" s="5" t="s">
        <v>18</v>
      </c>
      <c r="C7" s="5" t="s">
        <v>19</v>
      </c>
      <c r="D7" s="5" t="s">
        <v>20</v>
      </c>
      <c r="E7" s="5" t="s">
        <v>14</v>
      </c>
    </row>
    <row r="8" spans="1:5" x14ac:dyDescent="0.25">
      <c r="A8" s="4">
        <v>5</v>
      </c>
      <c r="B8" s="4" t="s">
        <v>21</v>
      </c>
      <c r="C8" s="4" t="s">
        <v>22</v>
      </c>
      <c r="D8" s="4" t="s">
        <v>23</v>
      </c>
      <c r="E8" s="4" t="s">
        <v>24</v>
      </c>
    </row>
    <row r="9" spans="1:5" x14ac:dyDescent="0.25">
      <c r="A9" s="5">
        <v>6</v>
      </c>
      <c r="B9" s="5" t="s">
        <v>25</v>
      </c>
      <c r="C9" s="5" t="s">
        <v>26</v>
      </c>
      <c r="D9" s="5" t="s">
        <v>27</v>
      </c>
      <c r="E9" s="5" t="s">
        <v>14</v>
      </c>
    </row>
    <row r="10" spans="1:5" x14ac:dyDescent="0.25">
      <c r="A10" s="4">
        <v>7</v>
      </c>
      <c r="B10" s="4" t="s">
        <v>28</v>
      </c>
      <c r="C10" s="4" t="s">
        <v>29</v>
      </c>
      <c r="D10" s="4" t="s">
        <v>30</v>
      </c>
      <c r="E10" s="4" t="s">
        <v>24</v>
      </c>
    </row>
    <row r="11" spans="1:5" x14ac:dyDescent="0.25">
      <c r="A11" s="5">
        <v>8</v>
      </c>
      <c r="B11" s="5" t="s">
        <v>31</v>
      </c>
      <c r="C11" s="5" t="s">
        <v>32</v>
      </c>
      <c r="D11" s="5" t="s">
        <v>33</v>
      </c>
      <c r="E11" s="5" t="s">
        <v>34</v>
      </c>
    </row>
    <row r="12" spans="1:5" x14ac:dyDescent="0.25">
      <c r="A12" s="4">
        <v>9</v>
      </c>
      <c r="B12" s="4" t="s">
        <v>35</v>
      </c>
      <c r="C12" s="4" t="s">
        <v>36</v>
      </c>
      <c r="D12" s="4" t="s">
        <v>37</v>
      </c>
      <c r="E12" s="4" t="s">
        <v>38</v>
      </c>
    </row>
    <row r="13" spans="1:5" x14ac:dyDescent="0.25">
      <c r="A13" s="5">
        <v>10</v>
      </c>
      <c r="B13" s="5" t="s">
        <v>39</v>
      </c>
      <c r="C13" s="5" t="s">
        <v>40</v>
      </c>
      <c r="D13" s="5" t="s">
        <v>41</v>
      </c>
      <c r="E13" s="5" t="s">
        <v>42</v>
      </c>
    </row>
    <row r="15" spans="1:4" x14ac:dyDescent="0.25">
      <c r="A15" s="6" t="s">
        <v>43</v>
      </c>
      <c r="B15" s="6"/>
      <c r="C15" s="6"/>
      <c r="D15" s="6"/>
    </row>
    <row r="16" spans="1:4" x14ac:dyDescent="0.25">
      <c r="A16" s="7" t="s">
        <v>44</v>
      </c>
      <c r="B16" s="7"/>
      <c r="C16" s="7"/>
      <c r="D16" s="7"/>
    </row>
    <row r="17" spans="1:4" x14ac:dyDescent="0.25">
      <c r="A17" s="7" t="s">
        <v>45</v>
      </c>
      <c r="B17" s="7"/>
      <c r="C17" s="7"/>
      <c r="D17" s="7"/>
    </row>
    <row r="18" spans="1:4" x14ac:dyDescent="0.25">
      <c r="A18" s="7" t="s">
        <v>46</v>
      </c>
      <c r="B18" s="7"/>
      <c r="C18" s="7"/>
      <c r="D18" s="7"/>
    </row>
    <row r="19" spans="1:4" x14ac:dyDescent="0.25">
      <c r="A19" s="7" t="s">
        <v>47</v>
      </c>
      <c r="B19" s="7"/>
      <c r="C19" s="7"/>
      <c r="D19" s="7"/>
    </row>
    <row r="20" spans="1:4" x14ac:dyDescent="0.25">
      <c r="A20" s="7" t="s">
        <v>48</v>
      </c>
      <c r="B20" s="7"/>
      <c r="C20" s="7"/>
      <c r="D20" s="7"/>
    </row>
    <row r="21" spans="1:4" x14ac:dyDescent="0.25">
      <c r="A21" s="7" t="s">
        <v>44</v>
      </c>
      <c r="B21" s="7"/>
      <c r="C21" s="7"/>
      <c r="D21" s="7"/>
    </row>
    <row r="22" spans="1:4" x14ac:dyDescent="0.25">
      <c r="A22" s="7" t="s">
        <v>49</v>
      </c>
      <c r="B22" s="7"/>
      <c r="C22" s="7"/>
      <c r="D22" s="7"/>
    </row>
    <row r="23" spans="1:4" x14ac:dyDescent="0.25">
      <c r="A23" s="7" t="s">
        <v>50</v>
      </c>
      <c r="B23" s="7"/>
      <c r="C23" s="7"/>
      <c r="D23" s="7"/>
    </row>
    <row r="24" spans="1:4" x14ac:dyDescent="0.25">
      <c r="A24" s="7" t="s">
        <v>51</v>
      </c>
      <c r="B24" s="7"/>
      <c r="C24" s="7"/>
      <c r="D24" s="7"/>
    </row>
    <row r="25" spans="1:4" x14ac:dyDescent="0.25">
      <c r="A25" s="7" t="s">
        <v>44</v>
      </c>
      <c r="B25" s="7"/>
      <c r="C25" s="7"/>
      <c r="D25" s="7"/>
    </row>
    <row r="26" spans="1:4" x14ac:dyDescent="0.25">
      <c r="A26" s="7" t="s">
        <v>52</v>
      </c>
      <c r="B26" s="7"/>
      <c r="C26" s="7"/>
      <c r="D26" s="7"/>
    </row>
    <row r="27" spans="1:4" x14ac:dyDescent="0.25">
      <c r="A27" s="7" t="s">
        <v>53</v>
      </c>
      <c r="B27" s="7"/>
      <c r="C27" s="7"/>
      <c r="D27" s="7"/>
    </row>
    <row r="28" spans="1:4" x14ac:dyDescent="0.25">
      <c r="A28" s="7" t="s">
        <v>54</v>
      </c>
      <c r="B28" s="7"/>
      <c r="C28" s="7"/>
      <c r="D28" s="7"/>
    </row>
    <row r="31" spans="1:4" x14ac:dyDescent="0.25">
      <c r="A31" s="8" t="s">
        <v>55</v>
      </c>
      <c r="B31" s="8"/>
      <c r="C31" s="8"/>
      <c r="D31" s="8"/>
    </row>
    <row r="32" spans="1:2" x14ac:dyDescent="0.25">
      <c r="A32" s="9" t="s">
        <v>56</v>
      </c>
      <c r="B32" s="10">
        <f>COUNTIF('03_기능목록'!$I$4:$I$57,"O")</f>
        <v>0</v>
      </c>
    </row>
    <row r="33" spans="1:2" x14ac:dyDescent="0.25">
      <c r="A33" s="9" t="s">
        <v>57</v>
      </c>
      <c r="B33" s="10">
        <f>COUNTIF('03_기능목록'!$I$4:$I$57,"X")</f>
        <v>0</v>
      </c>
    </row>
    <row r="34" spans="1:2" x14ac:dyDescent="0.25">
      <c r="A34" s="9" t="s">
        <v>58</v>
      </c>
      <c r="B34" s="10">
        <f>COUNTIF('03_기능목록'!$D$4:$D$57,"필수")+COUNTIF('03_기능목록'!$D$4:$D$57,"권장")+COUNTIF('03_기능목록'!$D$4:$D$57,"선택")-(COUNTIF('03_기능목록'!$I$4:$I$57,"O")+COUNTIF('03_기능목록'!$I$4:$I$57,"X"))</f>
        <v>49</v>
      </c>
    </row>
  </sheetData>
  <autoFilter ref="A3:E13"/>
  <mergeCells count="17">
    <mergeCell ref="A1:E1"/>
    <mergeCell ref="A2:E2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31:D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0" customWidth="1"/>
    <col min="3" max="3" width="44" customWidth="1"/>
    <col min="4" max="4" width="26" customWidth="1"/>
    <col min="5" max="5" width="56" customWidth="1"/>
  </cols>
  <sheetData>
    <row r="1" ht="30" customHeight="1" spans="1:5" x14ac:dyDescent="0.25">
      <c r="A1" s="1" t="s">
        <v>59</v>
      </c>
      <c r="B1" s="1"/>
      <c r="C1" s="1"/>
      <c r="D1" s="1"/>
      <c r="E1" s="1"/>
    </row>
    <row r="2" ht="26" customHeight="1" spans="1:5" x14ac:dyDescent="0.25">
      <c r="A2" s="2" t="s">
        <v>60</v>
      </c>
      <c r="B2" s="2"/>
      <c r="C2" s="2"/>
      <c r="D2" s="2"/>
      <c r="E2" s="2"/>
    </row>
    <row r="3" ht="24" customHeight="1" spans="1:5" x14ac:dyDescent="0.25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</row>
    <row r="4" spans="1:5" x14ac:dyDescent="0.25">
      <c r="A4" s="4" t="s">
        <v>66</v>
      </c>
      <c r="B4" s="4" t="s">
        <v>67</v>
      </c>
      <c r="C4" s="4" t="s">
        <v>68</v>
      </c>
      <c r="D4" s="11" t="s">
        <v>44</v>
      </c>
      <c r="E4" s="4" t="s">
        <v>69</v>
      </c>
    </row>
    <row r="5" spans="1:5" x14ac:dyDescent="0.25">
      <c r="A5" s="5" t="s">
        <v>66</v>
      </c>
      <c r="B5" s="5" t="s">
        <v>70</v>
      </c>
      <c r="C5" s="5" t="s">
        <v>71</v>
      </c>
      <c r="D5" s="11" t="s">
        <v>44</v>
      </c>
      <c r="E5" s="5" t="s">
        <v>72</v>
      </c>
    </row>
    <row r="6" spans="1:5" x14ac:dyDescent="0.25">
      <c r="A6" s="4" t="s">
        <v>66</v>
      </c>
      <c r="B6" s="4" t="s">
        <v>73</v>
      </c>
      <c r="C6" s="4" t="s">
        <v>74</v>
      </c>
      <c r="D6" s="11" t="s">
        <v>44</v>
      </c>
      <c r="E6" s="4" t="s">
        <v>75</v>
      </c>
    </row>
    <row r="7" spans="1:5" x14ac:dyDescent="0.25">
      <c r="A7" s="5" t="s">
        <v>66</v>
      </c>
      <c r="B7" s="5" t="s">
        <v>76</v>
      </c>
      <c r="C7" s="5" t="s">
        <v>77</v>
      </c>
      <c r="D7" s="11" t="s">
        <v>44</v>
      </c>
      <c r="E7" s="5" t="s">
        <v>78</v>
      </c>
    </row>
    <row r="8" spans="1:5" x14ac:dyDescent="0.25">
      <c r="A8" s="4" t="s">
        <v>79</v>
      </c>
      <c r="B8" s="4" t="s">
        <v>80</v>
      </c>
      <c r="C8" s="4" t="s">
        <v>81</v>
      </c>
      <c r="D8" s="11" t="s">
        <v>44</v>
      </c>
      <c r="E8" s="4" t="s">
        <v>82</v>
      </c>
    </row>
    <row r="9" spans="1:5" x14ac:dyDescent="0.25">
      <c r="A9" s="5" t="s">
        <v>79</v>
      </c>
      <c r="B9" s="5" t="s">
        <v>83</v>
      </c>
      <c r="C9" s="5" t="s">
        <v>84</v>
      </c>
      <c r="D9" s="11" t="s">
        <v>44</v>
      </c>
      <c r="E9" s="5" t="s">
        <v>85</v>
      </c>
    </row>
    <row r="10" spans="1:5" x14ac:dyDescent="0.25">
      <c r="A10" s="4" t="s">
        <v>79</v>
      </c>
      <c r="B10" s="4" t="s">
        <v>86</v>
      </c>
      <c r="C10" s="4" t="s">
        <v>87</v>
      </c>
      <c r="D10" s="11" t="s">
        <v>44</v>
      </c>
      <c r="E10" s="4" t="s">
        <v>88</v>
      </c>
    </row>
    <row r="11" spans="1:5" x14ac:dyDescent="0.25">
      <c r="A11" s="5" t="s">
        <v>79</v>
      </c>
      <c r="B11" s="5" t="s">
        <v>89</v>
      </c>
      <c r="C11" s="5" t="s">
        <v>90</v>
      </c>
      <c r="D11" s="11" t="s">
        <v>44</v>
      </c>
      <c r="E11" s="5" t="s">
        <v>91</v>
      </c>
    </row>
    <row r="12" spans="1:5" x14ac:dyDescent="0.25">
      <c r="A12" s="4" t="s">
        <v>79</v>
      </c>
      <c r="B12" s="4" t="s">
        <v>92</v>
      </c>
      <c r="C12" s="4" t="s">
        <v>93</v>
      </c>
      <c r="D12" s="11" t="s">
        <v>44</v>
      </c>
      <c r="E12" s="4" t="s">
        <v>94</v>
      </c>
    </row>
    <row r="13" spans="1:5" x14ac:dyDescent="0.25">
      <c r="A13" s="5" t="s">
        <v>95</v>
      </c>
      <c r="B13" s="5" t="s">
        <v>96</v>
      </c>
      <c r="C13" s="5" t="s">
        <v>97</v>
      </c>
      <c r="D13" s="11" t="s">
        <v>44</v>
      </c>
      <c r="E13" s="5" t="s">
        <v>98</v>
      </c>
    </row>
    <row r="14" spans="1:5" x14ac:dyDescent="0.25">
      <c r="A14" s="4" t="s">
        <v>95</v>
      </c>
      <c r="B14" s="4" t="s">
        <v>99</v>
      </c>
      <c r="C14" s="4" t="s">
        <v>100</v>
      </c>
      <c r="D14" s="11" t="s">
        <v>44</v>
      </c>
      <c r="E14" s="4" t="s">
        <v>101</v>
      </c>
    </row>
    <row r="15" spans="1:5" x14ac:dyDescent="0.25">
      <c r="A15" s="5" t="s">
        <v>95</v>
      </c>
      <c r="B15" s="5" t="s">
        <v>102</v>
      </c>
      <c r="C15" s="5" t="s">
        <v>103</v>
      </c>
      <c r="D15" s="11" t="s">
        <v>44</v>
      </c>
      <c r="E15" s="5" t="s">
        <v>104</v>
      </c>
    </row>
    <row r="16" spans="1:5" x14ac:dyDescent="0.25">
      <c r="A16" s="4" t="s">
        <v>95</v>
      </c>
      <c r="B16" s="4" t="s">
        <v>105</v>
      </c>
      <c r="C16" s="4" t="s">
        <v>106</v>
      </c>
      <c r="D16" s="11" t="s">
        <v>44</v>
      </c>
      <c r="E16" s="4" t="s">
        <v>107</v>
      </c>
    </row>
    <row r="17" spans="1:5" x14ac:dyDescent="0.25">
      <c r="A17" s="5" t="s">
        <v>95</v>
      </c>
      <c r="B17" s="5" t="s">
        <v>108</v>
      </c>
      <c r="C17" s="5" t="s">
        <v>109</v>
      </c>
      <c r="D17" s="11" t="s">
        <v>44</v>
      </c>
      <c r="E17" s="5" t="s">
        <v>110</v>
      </c>
    </row>
    <row r="18" spans="1:5" x14ac:dyDescent="0.25">
      <c r="A18" s="4" t="s">
        <v>111</v>
      </c>
      <c r="B18" s="4" t="s">
        <v>112</v>
      </c>
      <c r="C18" s="4" t="s">
        <v>97</v>
      </c>
      <c r="D18" s="11" t="s">
        <v>44</v>
      </c>
      <c r="E18" s="4" t="s">
        <v>113</v>
      </c>
    </row>
    <row r="19" spans="1:5" x14ac:dyDescent="0.25">
      <c r="A19" s="5" t="s">
        <v>111</v>
      </c>
      <c r="B19" s="5" t="s">
        <v>114</v>
      </c>
      <c r="C19" s="5" t="s">
        <v>115</v>
      </c>
      <c r="D19" s="11" t="s">
        <v>44</v>
      </c>
      <c r="E19" s="5" t="s">
        <v>116</v>
      </c>
    </row>
    <row r="20" spans="1:5" x14ac:dyDescent="0.25">
      <c r="A20" s="4" t="s">
        <v>111</v>
      </c>
      <c r="B20" s="4" t="s">
        <v>117</v>
      </c>
      <c r="C20" s="4" t="s">
        <v>118</v>
      </c>
      <c r="D20" s="11" t="s">
        <v>44</v>
      </c>
      <c r="E20" s="4" t="s">
        <v>119</v>
      </c>
    </row>
    <row r="21" spans="1:5" x14ac:dyDescent="0.25">
      <c r="A21" s="5" t="s">
        <v>120</v>
      </c>
      <c r="B21" s="5" t="s">
        <v>121</v>
      </c>
      <c r="C21" s="5" t="s">
        <v>122</v>
      </c>
      <c r="D21" s="11" t="s">
        <v>44</v>
      </c>
      <c r="E21" s="5" t="s">
        <v>123</v>
      </c>
    </row>
    <row r="22" spans="1:5" x14ac:dyDescent="0.25">
      <c r="A22" s="4" t="s">
        <v>120</v>
      </c>
      <c r="B22" s="4" t="s">
        <v>124</v>
      </c>
      <c r="C22" s="4" t="s">
        <v>125</v>
      </c>
      <c r="D22" s="11" t="s">
        <v>44</v>
      </c>
      <c r="E22" s="4" t="s">
        <v>126</v>
      </c>
    </row>
    <row r="23" spans="1:5" x14ac:dyDescent="0.25">
      <c r="A23" s="5" t="s">
        <v>120</v>
      </c>
      <c r="B23" s="5" t="s">
        <v>127</v>
      </c>
      <c r="C23" s="5" t="s">
        <v>128</v>
      </c>
      <c r="D23" s="11" t="s">
        <v>44</v>
      </c>
      <c r="E23" s="5" t="s">
        <v>129</v>
      </c>
    </row>
    <row r="24" spans="1:5" x14ac:dyDescent="0.25">
      <c r="A24" s="4" t="s">
        <v>130</v>
      </c>
      <c r="B24" s="4" t="s">
        <v>131</v>
      </c>
      <c r="C24" s="4" t="s">
        <v>132</v>
      </c>
      <c r="D24" s="11" t="s">
        <v>44</v>
      </c>
      <c r="E24" s="4" t="s">
        <v>133</v>
      </c>
    </row>
    <row r="25" spans="1:5" x14ac:dyDescent="0.25">
      <c r="A25" s="5" t="s">
        <v>130</v>
      </c>
      <c r="B25" s="5" t="s">
        <v>134</v>
      </c>
      <c r="C25" s="5" t="s">
        <v>135</v>
      </c>
      <c r="D25" s="11" t="s">
        <v>44</v>
      </c>
      <c r="E25" s="5" t="s">
        <v>136</v>
      </c>
    </row>
    <row r="26" spans="1:5" x14ac:dyDescent="0.25">
      <c r="A26" s="4" t="s">
        <v>130</v>
      </c>
      <c r="B26" s="4" t="s">
        <v>137</v>
      </c>
      <c r="C26" s="4" t="s">
        <v>138</v>
      </c>
      <c r="D26" s="11" t="s">
        <v>44</v>
      </c>
      <c r="E26" s="4" t="s">
        <v>139</v>
      </c>
    </row>
    <row r="27" spans="1:5" x14ac:dyDescent="0.25">
      <c r="A27" s="5" t="s">
        <v>140</v>
      </c>
      <c r="B27" s="5" t="s">
        <v>141</v>
      </c>
      <c r="C27" s="5" t="s">
        <v>142</v>
      </c>
      <c r="D27" s="11" t="s">
        <v>44</v>
      </c>
      <c r="E27" s="5" t="s">
        <v>143</v>
      </c>
    </row>
    <row r="28" spans="1:5" x14ac:dyDescent="0.25">
      <c r="A28" s="4" t="s">
        <v>140</v>
      </c>
      <c r="B28" s="4" t="s">
        <v>144</v>
      </c>
      <c r="C28" s="4" t="s">
        <v>145</v>
      </c>
      <c r="D28" s="11" t="s">
        <v>44</v>
      </c>
      <c r="E28" s="4" t="s">
        <v>146</v>
      </c>
    </row>
    <row r="29" spans="1:5" x14ac:dyDescent="0.25">
      <c r="A29" s="5" t="s">
        <v>147</v>
      </c>
      <c r="B29" s="5" t="s">
        <v>148</v>
      </c>
      <c r="C29" s="5" t="s">
        <v>149</v>
      </c>
      <c r="D29" s="11" t="s">
        <v>44</v>
      </c>
      <c r="E29" s="5" t="s">
        <v>150</v>
      </c>
    </row>
  </sheetData>
  <autoFilter ref="A3:E29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0" customWidth="1"/>
    <col min="3" max="3" width="30" customWidth="1"/>
    <col min="4" max="4" width="56" customWidth="1"/>
    <col min="5" max="6" width="10" customWidth="1"/>
  </cols>
  <sheetData>
    <row r="1" ht="30" customHeight="1" spans="1:6" x14ac:dyDescent="0.25">
      <c r="A1" s="1" t="s">
        <v>151</v>
      </c>
      <c r="B1" s="1"/>
      <c r="C1" s="1"/>
      <c r="D1" s="1"/>
      <c r="E1" s="1"/>
      <c r="F1" s="1"/>
    </row>
    <row r="2" ht="26" customHeight="1" spans="1:6" x14ac:dyDescent="0.25">
      <c r="A2" s="2" t="s">
        <v>152</v>
      </c>
      <c r="B2" s="2"/>
      <c r="C2" s="2"/>
      <c r="D2" s="2"/>
      <c r="E2" s="2"/>
      <c r="F2" s="2"/>
    </row>
    <row r="3" ht="24" customHeight="1" spans="1:6" x14ac:dyDescent="0.25">
      <c r="A3" s="3" t="s">
        <v>153</v>
      </c>
      <c r="B3" s="3" t="s">
        <v>154</v>
      </c>
      <c r="C3" s="3" t="s">
        <v>155</v>
      </c>
      <c r="D3" s="3" t="s">
        <v>156</v>
      </c>
      <c r="E3" s="3" t="s">
        <v>157</v>
      </c>
      <c r="F3" s="3" t="s">
        <v>158</v>
      </c>
    </row>
    <row r="4" spans="1:6" x14ac:dyDescent="0.25">
      <c r="A4" s="4" t="s">
        <v>159</v>
      </c>
      <c r="B4" s="4" t="s">
        <v>160</v>
      </c>
      <c r="C4" s="4" t="s">
        <v>161</v>
      </c>
      <c r="D4" s="4" t="s">
        <v>162</v>
      </c>
      <c r="E4" s="12" t="s">
        <v>163</v>
      </c>
      <c r="F4" s="11" t="s">
        <v>44</v>
      </c>
    </row>
    <row r="5" spans="1:6" x14ac:dyDescent="0.25">
      <c r="A5" s="5" t="s">
        <v>159</v>
      </c>
      <c r="B5" s="5" t="s">
        <v>160</v>
      </c>
      <c r="C5" s="5" t="s">
        <v>164</v>
      </c>
      <c r="D5" s="5" t="s">
        <v>165</v>
      </c>
      <c r="E5" s="5" t="s">
        <v>166</v>
      </c>
      <c r="F5" s="11" t="s">
        <v>44</v>
      </c>
    </row>
    <row r="6" spans="1:6" x14ac:dyDescent="0.25">
      <c r="A6" s="4" t="s">
        <v>159</v>
      </c>
      <c r="B6" s="4" t="s">
        <v>160</v>
      </c>
      <c r="C6" s="4" t="s">
        <v>167</v>
      </c>
      <c r="D6" s="4" t="s">
        <v>168</v>
      </c>
      <c r="E6" s="12" t="s">
        <v>163</v>
      </c>
      <c r="F6" s="11" t="s">
        <v>44</v>
      </c>
    </row>
    <row r="7" spans="1:6" x14ac:dyDescent="0.25">
      <c r="A7" s="5" t="s">
        <v>159</v>
      </c>
      <c r="B7" s="5" t="s">
        <v>160</v>
      </c>
      <c r="C7" s="5" t="s">
        <v>169</v>
      </c>
      <c r="D7" s="5" t="s">
        <v>170</v>
      </c>
      <c r="E7" s="5" t="s">
        <v>171</v>
      </c>
      <c r="F7" s="11" t="s">
        <v>44</v>
      </c>
    </row>
    <row r="8" spans="1:6" x14ac:dyDescent="0.25">
      <c r="A8" s="4" t="s">
        <v>159</v>
      </c>
      <c r="B8" s="4" t="s">
        <v>160</v>
      </c>
      <c r="C8" s="4" t="s">
        <v>172</v>
      </c>
      <c r="D8" s="4" t="s">
        <v>173</v>
      </c>
      <c r="E8" s="4" t="s">
        <v>166</v>
      </c>
      <c r="F8" s="11" t="s">
        <v>44</v>
      </c>
    </row>
    <row r="9" spans="1:6" x14ac:dyDescent="0.25">
      <c r="A9" s="5" t="s">
        <v>159</v>
      </c>
      <c r="B9" s="5" t="s">
        <v>160</v>
      </c>
      <c r="C9" s="5" t="s">
        <v>174</v>
      </c>
      <c r="D9" s="5" t="s">
        <v>175</v>
      </c>
      <c r="E9" s="5" t="s">
        <v>171</v>
      </c>
      <c r="F9" s="11" t="s">
        <v>44</v>
      </c>
    </row>
    <row r="10" spans="1:6" x14ac:dyDescent="0.25">
      <c r="A10" s="4" t="s">
        <v>159</v>
      </c>
      <c r="B10" s="4" t="s">
        <v>160</v>
      </c>
      <c r="C10" s="4" t="s">
        <v>176</v>
      </c>
      <c r="D10" s="4" t="s">
        <v>177</v>
      </c>
      <c r="E10" s="4" t="s">
        <v>166</v>
      </c>
      <c r="F10" s="11" t="s">
        <v>44</v>
      </c>
    </row>
    <row r="11" spans="1:6" x14ac:dyDescent="0.25">
      <c r="A11" s="5" t="s">
        <v>159</v>
      </c>
      <c r="B11" s="5" t="s">
        <v>160</v>
      </c>
      <c r="C11" s="5" t="s">
        <v>178</v>
      </c>
      <c r="D11" s="5" t="s">
        <v>179</v>
      </c>
      <c r="E11" s="5" t="s">
        <v>171</v>
      </c>
      <c r="F11" s="11" t="s">
        <v>44</v>
      </c>
    </row>
    <row r="12" spans="1:6" x14ac:dyDescent="0.25">
      <c r="A12" s="4" t="s">
        <v>159</v>
      </c>
      <c r="B12" s="4" t="s">
        <v>160</v>
      </c>
      <c r="C12" s="4" t="s">
        <v>180</v>
      </c>
      <c r="D12" s="4" t="s">
        <v>181</v>
      </c>
      <c r="E12" s="4" t="s">
        <v>171</v>
      </c>
      <c r="F12" s="11" t="s">
        <v>44</v>
      </c>
    </row>
    <row r="13" spans="1:6" x14ac:dyDescent="0.25">
      <c r="A13" s="5" t="s">
        <v>159</v>
      </c>
      <c r="B13" s="5" t="s">
        <v>160</v>
      </c>
      <c r="C13" s="5" t="s">
        <v>182</v>
      </c>
      <c r="D13" s="5" t="s">
        <v>183</v>
      </c>
      <c r="E13" s="5" t="s">
        <v>166</v>
      </c>
      <c r="F13" s="11" t="s">
        <v>44</v>
      </c>
    </row>
    <row r="14" spans="1:6" x14ac:dyDescent="0.25">
      <c r="A14" s="4" t="s">
        <v>184</v>
      </c>
      <c r="B14" s="4" t="s">
        <v>185</v>
      </c>
      <c r="C14" s="4" t="s">
        <v>186</v>
      </c>
      <c r="D14" s="4" t="s">
        <v>187</v>
      </c>
      <c r="E14" s="12" t="s">
        <v>163</v>
      </c>
      <c r="F14" s="11" t="s">
        <v>44</v>
      </c>
    </row>
    <row r="15" spans="1:6" x14ac:dyDescent="0.25">
      <c r="A15" s="5" t="s">
        <v>184</v>
      </c>
      <c r="B15" s="5" t="s">
        <v>185</v>
      </c>
      <c r="C15" s="5" t="s">
        <v>188</v>
      </c>
      <c r="D15" s="5" t="s">
        <v>189</v>
      </c>
      <c r="E15" s="5" t="s">
        <v>166</v>
      </c>
      <c r="F15" s="11" t="s">
        <v>44</v>
      </c>
    </row>
    <row r="16" spans="1:6" x14ac:dyDescent="0.25">
      <c r="A16" s="4" t="s">
        <v>184</v>
      </c>
      <c r="B16" s="4" t="s">
        <v>185</v>
      </c>
      <c r="C16" s="4" t="s">
        <v>190</v>
      </c>
      <c r="D16" s="4" t="s">
        <v>191</v>
      </c>
      <c r="E16" s="4" t="s">
        <v>166</v>
      </c>
      <c r="F16" s="11" t="s">
        <v>44</v>
      </c>
    </row>
    <row r="17" spans="1:6" x14ac:dyDescent="0.25">
      <c r="A17" s="5" t="s">
        <v>184</v>
      </c>
      <c r="B17" s="5" t="s">
        <v>185</v>
      </c>
      <c r="C17" s="5" t="s">
        <v>192</v>
      </c>
      <c r="D17" s="5" t="s">
        <v>193</v>
      </c>
      <c r="E17" s="5" t="s">
        <v>166</v>
      </c>
      <c r="F17" s="11" t="s">
        <v>44</v>
      </c>
    </row>
    <row r="18" spans="1:6" x14ac:dyDescent="0.25">
      <c r="A18" s="4" t="s">
        <v>184</v>
      </c>
      <c r="B18" s="4" t="s">
        <v>185</v>
      </c>
      <c r="C18" s="4" t="s">
        <v>194</v>
      </c>
      <c r="D18" s="4" t="s">
        <v>195</v>
      </c>
      <c r="E18" s="4" t="s">
        <v>171</v>
      </c>
      <c r="F18" s="11" t="s">
        <v>44</v>
      </c>
    </row>
    <row r="19" spans="1:6" x14ac:dyDescent="0.25">
      <c r="A19" s="5" t="s">
        <v>184</v>
      </c>
      <c r="B19" s="5" t="s">
        <v>185</v>
      </c>
      <c r="C19" s="5" t="s">
        <v>196</v>
      </c>
      <c r="D19" s="5" t="s">
        <v>197</v>
      </c>
      <c r="E19" s="5" t="s">
        <v>171</v>
      </c>
      <c r="F19" s="11" t="s">
        <v>44</v>
      </c>
    </row>
    <row r="20" spans="1:6" x14ac:dyDescent="0.25">
      <c r="A20" s="4" t="s">
        <v>198</v>
      </c>
      <c r="B20" s="4" t="s">
        <v>199</v>
      </c>
      <c r="C20" s="4" t="s">
        <v>200</v>
      </c>
      <c r="D20" s="4" t="s">
        <v>201</v>
      </c>
      <c r="E20" s="12" t="s">
        <v>163</v>
      </c>
      <c r="F20" s="11" t="s">
        <v>44</v>
      </c>
    </row>
    <row r="21" spans="1:6" x14ac:dyDescent="0.25">
      <c r="A21" s="5" t="s">
        <v>198</v>
      </c>
      <c r="B21" s="5" t="s">
        <v>199</v>
      </c>
      <c r="C21" s="5" t="s">
        <v>202</v>
      </c>
      <c r="D21" s="5" t="s">
        <v>203</v>
      </c>
      <c r="E21" s="5" t="s">
        <v>166</v>
      </c>
      <c r="F21" s="11" t="s">
        <v>44</v>
      </c>
    </row>
    <row r="22" spans="1:6" x14ac:dyDescent="0.25">
      <c r="A22" s="4" t="s">
        <v>198</v>
      </c>
      <c r="B22" s="4" t="s">
        <v>199</v>
      </c>
      <c r="C22" s="4" t="s">
        <v>204</v>
      </c>
      <c r="D22" s="4" t="s">
        <v>205</v>
      </c>
      <c r="E22" s="12" t="s">
        <v>163</v>
      </c>
      <c r="F22" s="11" t="s">
        <v>44</v>
      </c>
    </row>
    <row r="23" spans="1:6" x14ac:dyDescent="0.25">
      <c r="A23" s="5" t="s">
        <v>198</v>
      </c>
      <c r="B23" s="5" t="s">
        <v>199</v>
      </c>
      <c r="C23" s="5" t="s">
        <v>206</v>
      </c>
      <c r="D23" s="5" t="s">
        <v>207</v>
      </c>
      <c r="E23" s="13" t="s">
        <v>163</v>
      </c>
      <c r="F23" s="11" t="s">
        <v>44</v>
      </c>
    </row>
    <row r="24" spans="1:6" x14ac:dyDescent="0.25">
      <c r="A24" s="4" t="s">
        <v>198</v>
      </c>
      <c r="B24" s="4" t="s">
        <v>208</v>
      </c>
      <c r="C24" s="4" t="s">
        <v>209</v>
      </c>
      <c r="D24" s="4" t="s">
        <v>210</v>
      </c>
      <c r="E24" s="12" t="s">
        <v>163</v>
      </c>
      <c r="F24" s="11" t="s">
        <v>44</v>
      </c>
    </row>
    <row r="25" spans="1:6" x14ac:dyDescent="0.25">
      <c r="A25" s="5" t="s">
        <v>198</v>
      </c>
      <c r="B25" s="5" t="s">
        <v>208</v>
      </c>
      <c r="C25" s="5" t="s">
        <v>211</v>
      </c>
      <c r="D25" s="5" t="s">
        <v>212</v>
      </c>
      <c r="E25" s="13" t="s">
        <v>163</v>
      </c>
      <c r="F25" s="11" t="s">
        <v>44</v>
      </c>
    </row>
    <row r="26" spans="1:6" x14ac:dyDescent="0.25">
      <c r="A26" s="4" t="s">
        <v>198</v>
      </c>
      <c r="B26" s="4" t="s">
        <v>208</v>
      </c>
      <c r="C26" s="4" t="s">
        <v>213</v>
      </c>
      <c r="D26" s="4" t="s">
        <v>214</v>
      </c>
      <c r="E26" s="4" t="s">
        <v>166</v>
      </c>
      <c r="F26" s="11" t="s">
        <v>44</v>
      </c>
    </row>
    <row r="27" spans="1:6" x14ac:dyDescent="0.25">
      <c r="A27" s="5" t="s">
        <v>198</v>
      </c>
      <c r="B27" s="5" t="s">
        <v>208</v>
      </c>
      <c r="C27" s="5" t="s">
        <v>215</v>
      </c>
      <c r="D27" s="5" t="s">
        <v>216</v>
      </c>
      <c r="E27" s="5" t="s">
        <v>171</v>
      </c>
      <c r="F27" s="11" t="s">
        <v>44</v>
      </c>
    </row>
    <row r="28" spans="1:6" x14ac:dyDescent="0.25">
      <c r="A28" s="4" t="s">
        <v>217</v>
      </c>
      <c r="B28" s="4" t="s">
        <v>218</v>
      </c>
      <c r="C28" s="4" t="s">
        <v>219</v>
      </c>
      <c r="D28" s="4" t="s">
        <v>220</v>
      </c>
      <c r="E28" s="12" t="s">
        <v>163</v>
      </c>
      <c r="F28" s="11" t="s">
        <v>44</v>
      </c>
    </row>
    <row r="29" spans="1:6" x14ac:dyDescent="0.25">
      <c r="A29" s="5" t="s">
        <v>217</v>
      </c>
      <c r="B29" s="5" t="s">
        <v>221</v>
      </c>
      <c r="C29" s="5" t="s">
        <v>222</v>
      </c>
      <c r="D29" s="5" t="s">
        <v>223</v>
      </c>
      <c r="E29" s="13" t="s">
        <v>163</v>
      </c>
      <c r="F29" s="11" t="s">
        <v>44</v>
      </c>
    </row>
    <row r="30" spans="1:6" x14ac:dyDescent="0.25">
      <c r="A30" s="4" t="s">
        <v>224</v>
      </c>
      <c r="B30" s="4" t="s">
        <v>225</v>
      </c>
      <c r="C30" s="4" t="s">
        <v>226</v>
      </c>
      <c r="D30" s="4" t="s">
        <v>227</v>
      </c>
      <c r="E30" s="12" t="s">
        <v>163</v>
      </c>
      <c r="F30" s="11" t="s">
        <v>44</v>
      </c>
    </row>
    <row r="31" spans="1:6" x14ac:dyDescent="0.25">
      <c r="A31" s="5" t="s">
        <v>224</v>
      </c>
      <c r="B31" s="5" t="s">
        <v>225</v>
      </c>
      <c r="C31" s="5" t="s">
        <v>228</v>
      </c>
      <c r="D31" s="5" t="s">
        <v>229</v>
      </c>
      <c r="E31" s="13" t="s">
        <v>163</v>
      </c>
      <c r="F31" s="11" t="s">
        <v>44</v>
      </c>
    </row>
    <row r="32" spans="1:6" x14ac:dyDescent="0.25">
      <c r="A32" s="4" t="s">
        <v>224</v>
      </c>
      <c r="B32" s="4" t="s">
        <v>225</v>
      </c>
      <c r="C32" s="4" t="s">
        <v>230</v>
      </c>
      <c r="D32" s="4" t="s">
        <v>231</v>
      </c>
      <c r="E32" s="4" t="s">
        <v>166</v>
      </c>
      <c r="F32" s="11" t="s">
        <v>44</v>
      </c>
    </row>
    <row r="33" spans="1:6" x14ac:dyDescent="0.25">
      <c r="A33" s="5" t="s">
        <v>232</v>
      </c>
      <c r="B33" s="5" t="s">
        <v>233</v>
      </c>
      <c r="C33" s="5" t="s">
        <v>234</v>
      </c>
      <c r="D33" s="5" t="s">
        <v>235</v>
      </c>
      <c r="E33" s="5" t="s">
        <v>166</v>
      </c>
      <c r="F33" s="11" t="s">
        <v>44</v>
      </c>
    </row>
    <row r="34" spans="1:6" x14ac:dyDescent="0.25">
      <c r="A34" s="4" t="s">
        <v>95</v>
      </c>
      <c r="B34" s="4" t="s">
        <v>236</v>
      </c>
      <c r="C34" s="4" t="s">
        <v>237</v>
      </c>
      <c r="D34" s="4" t="s">
        <v>238</v>
      </c>
      <c r="E34" s="4" t="s">
        <v>171</v>
      </c>
      <c r="F34" s="11" t="s">
        <v>44</v>
      </c>
    </row>
    <row r="35" spans="1:6" x14ac:dyDescent="0.25">
      <c r="A35" s="5" t="s">
        <v>95</v>
      </c>
      <c r="B35" s="5" t="s">
        <v>239</v>
      </c>
      <c r="C35" s="5" t="s">
        <v>240</v>
      </c>
      <c r="D35" s="5" t="s">
        <v>241</v>
      </c>
      <c r="E35" s="5" t="s">
        <v>171</v>
      </c>
      <c r="F35" s="11" t="s">
        <v>44</v>
      </c>
    </row>
    <row r="36" spans="1:6" x14ac:dyDescent="0.25">
      <c r="A36" s="4" t="s">
        <v>95</v>
      </c>
      <c r="B36" s="4" t="s">
        <v>239</v>
      </c>
      <c r="C36" s="4" t="s">
        <v>242</v>
      </c>
      <c r="D36" s="4" t="s">
        <v>243</v>
      </c>
      <c r="E36" s="4" t="s">
        <v>171</v>
      </c>
      <c r="F36" s="11" t="s">
        <v>44</v>
      </c>
    </row>
    <row r="37" spans="1:6" x14ac:dyDescent="0.25">
      <c r="A37" s="5" t="s">
        <v>95</v>
      </c>
      <c r="B37" s="5" t="s">
        <v>239</v>
      </c>
      <c r="C37" s="5" t="s">
        <v>244</v>
      </c>
      <c r="D37" s="5" t="s">
        <v>245</v>
      </c>
      <c r="E37" s="5" t="s">
        <v>171</v>
      </c>
      <c r="F37" s="11" t="s">
        <v>44</v>
      </c>
    </row>
    <row r="38" spans="1:6" x14ac:dyDescent="0.25">
      <c r="A38" s="4" t="s">
        <v>95</v>
      </c>
      <c r="B38" s="4" t="s">
        <v>239</v>
      </c>
      <c r="C38" s="4" t="s">
        <v>246</v>
      </c>
      <c r="D38" s="4" t="s">
        <v>247</v>
      </c>
      <c r="E38" s="4" t="s">
        <v>171</v>
      </c>
      <c r="F38" s="11" t="s">
        <v>44</v>
      </c>
    </row>
    <row r="39" spans="1:6" x14ac:dyDescent="0.25">
      <c r="A39" s="5" t="s">
        <v>248</v>
      </c>
      <c r="B39" s="5" t="s">
        <v>249</v>
      </c>
      <c r="C39" s="5" t="s">
        <v>250</v>
      </c>
      <c r="D39" s="5" t="s">
        <v>251</v>
      </c>
      <c r="E39" s="5" t="s">
        <v>171</v>
      </c>
      <c r="F39" s="11" t="s">
        <v>44</v>
      </c>
    </row>
  </sheetData>
  <autoFilter ref="A3:F39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6" customWidth="1"/>
    <col min="3" max="3" width="52" customWidth="1"/>
    <col min="5" max="5" width="8" customWidth="1"/>
    <col min="6" max="6" width="10" customWidth="1"/>
    <col min="7" max="7" width="26" customWidth="1"/>
    <col min="8" max="8" width="54" customWidth="1"/>
  </cols>
  <sheetData>
    <row r="1" ht="30" customHeight="1" spans="1:9" x14ac:dyDescent="0.25">
      <c r="A1" s="1" t="s">
        <v>252</v>
      </c>
      <c r="B1" s="1"/>
      <c r="C1" s="1"/>
      <c r="D1" s="1"/>
      <c r="E1" s="1"/>
      <c r="F1" s="1"/>
      <c r="G1" s="1"/>
      <c r="H1" s="1"/>
      <c r="I1" s="1"/>
    </row>
    <row r="2" ht="26" customHeight="1" spans="1:9" x14ac:dyDescent="0.25">
      <c r="A2" s="2" t="s">
        <v>253</v>
      </c>
      <c r="B2" s="2"/>
      <c r="C2" s="2"/>
      <c r="D2" s="2"/>
      <c r="E2" s="2"/>
      <c r="F2" s="2"/>
      <c r="G2" s="2"/>
      <c r="H2" s="2"/>
      <c r="I2" s="2"/>
    </row>
    <row r="3" ht="24" customHeight="1" spans="1:9" x14ac:dyDescent="0.25">
      <c r="A3" s="3" t="s">
        <v>61</v>
      </c>
      <c r="B3" s="3" t="s">
        <v>254</v>
      </c>
      <c r="C3" s="3" t="s">
        <v>156</v>
      </c>
      <c r="D3" s="3" t="s">
        <v>157</v>
      </c>
      <c r="E3" s="3" t="s">
        <v>255</v>
      </c>
      <c r="F3" s="3" t="s">
        <v>256</v>
      </c>
      <c r="G3" s="3" t="s">
        <v>257</v>
      </c>
      <c r="H3" s="3" t="s">
        <v>258</v>
      </c>
      <c r="I3" s="3" t="s">
        <v>158</v>
      </c>
    </row>
    <row r="4" spans="1:9" x14ac:dyDescent="0.25">
      <c r="A4" s="4" t="s">
        <v>259</v>
      </c>
      <c r="B4" s="4" t="s">
        <v>260</v>
      </c>
      <c r="C4" s="4" t="s">
        <v>261</v>
      </c>
      <c r="D4" s="12" t="s">
        <v>163</v>
      </c>
      <c r="E4" s="4" t="s">
        <v>262</v>
      </c>
      <c r="F4" s="4" t="s">
        <v>263</v>
      </c>
      <c r="G4" s="4" t="s">
        <v>264</v>
      </c>
      <c r="H4" s="4" t="s">
        <v>265</v>
      </c>
      <c r="I4" s="11" t="s">
        <v>44</v>
      </c>
    </row>
    <row r="5" spans="1:9" x14ac:dyDescent="0.25">
      <c r="A5" s="5" t="s">
        <v>259</v>
      </c>
      <c r="B5" s="5" t="s">
        <v>266</v>
      </c>
      <c r="C5" s="5" t="s">
        <v>267</v>
      </c>
      <c r="D5" s="13" t="s">
        <v>163</v>
      </c>
      <c r="E5" s="5" t="s">
        <v>268</v>
      </c>
      <c r="F5" s="5" t="s">
        <v>10</v>
      </c>
      <c r="G5" s="5" t="s">
        <v>269</v>
      </c>
      <c r="H5" s="5" t="s">
        <v>270</v>
      </c>
      <c r="I5" s="11" t="s">
        <v>44</v>
      </c>
    </row>
    <row r="6" spans="1:9" x14ac:dyDescent="0.25">
      <c r="A6" s="4" t="s">
        <v>259</v>
      </c>
      <c r="B6" s="4" t="s">
        <v>271</v>
      </c>
      <c r="C6" s="4" t="s">
        <v>272</v>
      </c>
      <c r="D6" s="12" t="s">
        <v>163</v>
      </c>
      <c r="E6" s="4" t="s">
        <v>268</v>
      </c>
      <c r="F6" s="4" t="s">
        <v>273</v>
      </c>
      <c r="G6" s="4" t="s">
        <v>264</v>
      </c>
      <c r="H6" s="4" t="s">
        <v>274</v>
      </c>
      <c r="I6" s="11" t="s">
        <v>44</v>
      </c>
    </row>
    <row r="7" spans="1:9" x14ac:dyDescent="0.25">
      <c r="A7" s="5" t="s">
        <v>259</v>
      </c>
      <c r="B7" s="5" t="s">
        <v>275</v>
      </c>
      <c r="C7" s="5" t="s">
        <v>276</v>
      </c>
      <c r="D7" s="13" t="s">
        <v>163</v>
      </c>
      <c r="E7" s="5" t="s">
        <v>268</v>
      </c>
      <c r="F7" s="5" t="s">
        <v>10</v>
      </c>
      <c r="G7" s="5" t="s">
        <v>264</v>
      </c>
      <c r="H7" s="5" t="s">
        <v>277</v>
      </c>
      <c r="I7" s="11" t="s">
        <v>44</v>
      </c>
    </row>
    <row r="8" spans="1:9" x14ac:dyDescent="0.25">
      <c r="A8" s="4" t="s">
        <v>259</v>
      </c>
      <c r="B8" s="4" t="s">
        <v>278</v>
      </c>
      <c r="C8" s="4" t="s">
        <v>279</v>
      </c>
      <c r="D8" s="12" t="s">
        <v>163</v>
      </c>
      <c r="E8" s="4" t="s">
        <v>268</v>
      </c>
      <c r="F8" s="4" t="s">
        <v>10</v>
      </c>
      <c r="G8" s="4" t="s">
        <v>280</v>
      </c>
      <c r="H8" s="4" t="s">
        <v>281</v>
      </c>
      <c r="I8" s="11" t="s">
        <v>44</v>
      </c>
    </row>
    <row r="9" spans="1:9" x14ac:dyDescent="0.25">
      <c r="A9" s="5" t="s">
        <v>259</v>
      </c>
      <c r="B9" s="5" t="s">
        <v>282</v>
      </c>
      <c r="C9" s="5" t="s">
        <v>283</v>
      </c>
      <c r="D9" s="5" t="s">
        <v>166</v>
      </c>
      <c r="E9" s="5" t="s">
        <v>268</v>
      </c>
      <c r="F9" s="5" t="s">
        <v>10</v>
      </c>
      <c r="G9" s="5" t="s">
        <v>284</v>
      </c>
      <c r="H9" s="5" t="s">
        <v>285</v>
      </c>
      <c r="I9" s="11" t="s">
        <v>44</v>
      </c>
    </row>
    <row r="10" spans="1:9" x14ac:dyDescent="0.25">
      <c r="A10" s="4" t="s">
        <v>286</v>
      </c>
      <c r="B10" s="4" t="s">
        <v>287</v>
      </c>
      <c r="C10" s="4" t="s">
        <v>288</v>
      </c>
      <c r="D10" s="12" t="s">
        <v>163</v>
      </c>
      <c r="E10" s="4" t="s">
        <v>262</v>
      </c>
      <c r="F10" s="4" t="s">
        <v>289</v>
      </c>
      <c r="G10" s="4" t="s">
        <v>290</v>
      </c>
      <c r="H10" s="4" t="s">
        <v>291</v>
      </c>
      <c r="I10" s="11" t="s">
        <v>44</v>
      </c>
    </row>
    <row r="11" spans="1:9" x14ac:dyDescent="0.25">
      <c r="A11" s="5" t="s">
        <v>286</v>
      </c>
      <c r="B11" s="5" t="s">
        <v>164</v>
      </c>
      <c r="C11" s="5" t="s">
        <v>292</v>
      </c>
      <c r="D11" s="5" t="s">
        <v>166</v>
      </c>
      <c r="E11" s="5" t="s">
        <v>268</v>
      </c>
      <c r="F11" s="5" t="s">
        <v>273</v>
      </c>
      <c r="G11" s="5" t="s">
        <v>264</v>
      </c>
      <c r="H11" s="5" t="s">
        <v>293</v>
      </c>
      <c r="I11" s="11" t="s">
        <v>44</v>
      </c>
    </row>
    <row r="12" spans="1:9" x14ac:dyDescent="0.25">
      <c r="A12" s="4" t="s">
        <v>286</v>
      </c>
      <c r="B12" s="4" t="s">
        <v>294</v>
      </c>
      <c r="C12" s="4" t="s">
        <v>295</v>
      </c>
      <c r="D12" s="12" t="s">
        <v>163</v>
      </c>
      <c r="E12" s="4" t="s">
        <v>268</v>
      </c>
      <c r="F12" s="4" t="s">
        <v>273</v>
      </c>
      <c r="G12" s="4" t="s">
        <v>264</v>
      </c>
      <c r="H12" s="4" t="s">
        <v>296</v>
      </c>
      <c r="I12" s="11" t="s">
        <v>44</v>
      </c>
    </row>
    <row r="13" spans="1:9" x14ac:dyDescent="0.25">
      <c r="A13" s="5" t="s">
        <v>286</v>
      </c>
      <c r="B13" s="5" t="s">
        <v>172</v>
      </c>
      <c r="C13" s="5" t="s">
        <v>297</v>
      </c>
      <c r="D13" s="5" t="s">
        <v>166</v>
      </c>
      <c r="E13" s="5" t="s">
        <v>262</v>
      </c>
      <c r="F13" s="5" t="s">
        <v>289</v>
      </c>
      <c r="G13" s="5" t="s">
        <v>264</v>
      </c>
      <c r="H13" s="5" t="s">
        <v>298</v>
      </c>
      <c r="I13" s="11" t="s">
        <v>44</v>
      </c>
    </row>
    <row r="14" spans="1:9" x14ac:dyDescent="0.25">
      <c r="A14" s="4" t="s">
        <v>286</v>
      </c>
      <c r="B14" s="4" t="s">
        <v>299</v>
      </c>
      <c r="C14" s="4" t="s">
        <v>300</v>
      </c>
      <c r="D14" s="4" t="s">
        <v>166</v>
      </c>
      <c r="E14" s="4" t="s">
        <v>262</v>
      </c>
      <c r="F14" s="4" t="s">
        <v>289</v>
      </c>
      <c r="G14" s="4" t="s">
        <v>264</v>
      </c>
      <c r="H14" s="4" t="s">
        <v>301</v>
      </c>
      <c r="I14" s="11" t="s">
        <v>44</v>
      </c>
    </row>
    <row r="15" spans="1:9" x14ac:dyDescent="0.25">
      <c r="A15" s="5" t="s">
        <v>286</v>
      </c>
      <c r="B15" s="5" t="s">
        <v>174</v>
      </c>
      <c r="C15" s="5" t="s">
        <v>302</v>
      </c>
      <c r="D15" s="5" t="s">
        <v>171</v>
      </c>
      <c r="E15" s="5" t="s">
        <v>262</v>
      </c>
      <c r="F15" s="5" t="s">
        <v>289</v>
      </c>
      <c r="G15" s="5" t="s">
        <v>303</v>
      </c>
      <c r="H15" s="5" t="s">
        <v>304</v>
      </c>
      <c r="I15" s="11" t="s">
        <v>44</v>
      </c>
    </row>
    <row r="16" spans="1:9" x14ac:dyDescent="0.25">
      <c r="A16" s="4" t="s">
        <v>286</v>
      </c>
      <c r="B16" s="4" t="s">
        <v>178</v>
      </c>
      <c r="C16" s="4" t="s">
        <v>305</v>
      </c>
      <c r="D16" s="4" t="s">
        <v>171</v>
      </c>
      <c r="E16" s="4" t="s">
        <v>306</v>
      </c>
      <c r="F16" s="4" t="s">
        <v>307</v>
      </c>
      <c r="G16" s="4" t="s">
        <v>264</v>
      </c>
      <c r="H16" s="4" t="s">
        <v>308</v>
      </c>
      <c r="I16" s="11" t="s">
        <v>44</v>
      </c>
    </row>
    <row r="17" spans="1:9" x14ac:dyDescent="0.25">
      <c r="A17" s="5" t="s">
        <v>286</v>
      </c>
      <c r="B17" s="5" t="s">
        <v>180</v>
      </c>
      <c r="C17" s="5" t="s">
        <v>309</v>
      </c>
      <c r="D17" s="5" t="s">
        <v>171</v>
      </c>
      <c r="E17" s="5" t="s">
        <v>268</v>
      </c>
      <c r="F17" s="5" t="s">
        <v>273</v>
      </c>
      <c r="G17" s="5" t="s">
        <v>269</v>
      </c>
      <c r="H17" s="5" t="s">
        <v>310</v>
      </c>
      <c r="I17" s="11" t="s">
        <v>44</v>
      </c>
    </row>
    <row r="18" spans="1:9" x14ac:dyDescent="0.25">
      <c r="A18" s="4" t="s">
        <v>198</v>
      </c>
      <c r="B18" s="4" t="s">
        <v>311</v>
      </c>
      <c r="C18" s="4" t="s">
        <v>312</v>
      </c>
      <c r="D18" s="12" t="s">
        <v>163</v>
      </c>
      <c r="E18" s="4" t="s">
        <v>262</v>
      </c>
      <c r="F18" s="4" t="s">
        <v>313</v>
      </c>
      <c r="G18" s="4" t="s">
        <v>314</v>
      </c>
      <c r="H18" s="4" t="s">
        <v>315</v>
      </c>
      <c r="I18" s="11" t="s">
        <v>44</v>
      </c>
    </row>
    <row r="19" spans="1:9" x14ac:dyDescent="0.25">
      <c r="A19" s="5" t="s">
        <v>198</v>
      </c>
      <c r="B19" s="5" t="s">
        <v>316</v>
      </c>
      <c r="C19" s="5" t="s">
        <v>317</v>
      </c>
      <c r="D19" s="13" t="s">
        <v>163</v>
      </c>
      <c r="E19" s="5" t="s">
        <v>262</v>
      </c>
      <c r="F19" s="5" t="s">
        <v>289</v>
      </c>
      <c r="G19" s="5" t="s">
        <v>264</v>
      </c>
      <c r="H19" s="5" t="s">
        <v>318</v>
      </c>
      <c r="I19" s="11" t="s">
        <v>44</v>
      </c>
    </row>
    <row r="20" spans="1:9" x14ac:dyDescent="0.25">
      <c r="A20" s="4" t="s">
        <v>198</v>
      </c>
      <c r="B20" s="4" t="s">
        <v>319</v>
      </c>
      <c r="C20" s="4" t="s">
        <v>320</v>
      </c>
      <c r="D20" s="4" t="s">
        <v>166</v>
      </c>
      <c r="E20" s="4" t="s">
        <v>262</v>
      </c>
      <c r="F20" s="4" t="s">
        <v>289</v>
      </c>
      <c r="G20" s="4" t="s">
        <v>321</v>
      </c>
      <c r="H20" s="4" t="s">
        <v>322</v>
      </c>
      <c r="I20" s="11" t="s">
        <v>44</v>
      </c>
    </row>
    <row r="21" spans="1:9" x14ac:dyDescent="0.25">
      <c r="A21" s="5" t="s">
        <v>198</v>
      </c>
      <c r="B21" s="5" t="s">
        <v>323</v>
      </c>
      <c r="C21" s="5" t="s">
        <v>324</v>
      </c>
      <c r="D21" s="5" t="s">
        <v>166</v>
      </c>
      <c r="E21" s="5" t="s">
        <v>262</v>
      </c>
      <c r="F21" s="5" t="s">
        <v>273</v>
      </c>
      <c r="G21" s="5" t="s">
        <v>264</v>
      </c>
      <c r="H21" s="5" t="s">
        <v>325</v>
      </c>
      <c r="I21" s="11" t="s">
        <v>44</v>
      </c>
    </row>
    <row r="22" spans="1:9" x14ac:dyDescent="0.25">
      <c r="A22" s="4" t="s">
        <v>198</v>
      </c>
      <c r="B22" s="4" t="s">
        <v>326</v>
      </c>
      <c r="C22" s="4" t="s">
        <v>327</v>
      </c>
      <c r="D22" s="4" t="s">
        <v>171</v>
      </c>
      <c r="E22" s="4" t="s">
        <v>268</v>
      </c>
      <c r="F22" s="4" t="s">
        <v>10</v>
      </c>
      <c r="G22" s="4" t="s">
        <v>264</v>
      </c>
      <c r="H22" s="4" t="s">
        <v>328</v>
      </c>
      <c r="I22" s="11" t="s">
        <v>44</v>
      </c>
    </row>
    <row r="23" spans="1:9" x14ac:dyDescent="0.25">
      <c r="A23" s="5" t="s">
        <v>198</v>
      </c>
      <c r="B23" s="5" t="s">
        <v>329</v>
      </c>
      <c r="C23" s="5" t="s">
        <v>330</v>
      </c>
      <c r="D23" s="13" t="s">
        <v>163</v>
      </c>
      <c r="E23" s="5" t="s">
        <v>262</v>
      </c>
      <c r="F23" s="5" t="s">
        <v>331</v>
      </c>
      <c r="G23" s="5" t="s">
        <v>264</v>
      </c>
      <c r="H23" s="5" t="s">
        <v>332</v>
      </c>
      <c r="I23" s="11" t="s">
        <v>44</v>
      </c>
    </row>
    <row r="24" spans="1:9" x14ac:dyDescent="0.25">
      <c r="A24" s="4" t="s">
        <v>198</v>
      </c>
      <c r="B24" s="4" t="s">
        <v>333</v>
      </c>
      <c r="C24" s="4" t="s">
        <v>334</v>
      </c>
      <c r="D24" s="4" t="s">
        <v>166</v>
      </c>
      <c r="E24" s="4" t="s">
        <v>262</v>
      </c>
      <c r="F24" s="4" t="s">
        <v>289</v>
      </c>
      <c r="G24" s="4" t="s">
        <v>264</v>
      </c>
      <c r="H24" s="4" t="s">
        <v>335</v>
      </c>
      <c r="I24" s="11" t="s">
        <v>44</v>
      </c>
    </row>
    <row r="25" spans="1:9" x14ac:dyDescent="0.25">
      <c r="A25" s="5" t="s">
        <v>198</v>
      </c>
      <c r="B25" s="5" t="s">
        <v>336</v>
      </c>
      <c r="C25" s="5" t="s">
        <v>337</v>
      </c>
      <c r="D25" s="5" t="s">
        <v>171</v>
      </c>
      <c r="E25" s="5" t="s">
        <v>262</v>
      </c>
      <c r="F25" s="5" t="s">
        <v>313</v>
      </c>
      <c r="G25" s="5" t="s">
        <v>338</v>
      </c>
      <c r="H25" s="5" t="s">
        <v>339</v>
      </c>
      <c r="I25" s="11" t="s">
        <v>44</v>
      </c>
    </row>
    <row r="26" spans="1:9" x14ac:dyDescent="0.25">
      <c r="A26" s="4" t="s">
        <v>198</v>
      </c>
      <c r="B26" s="4" t="s">
        <v>340</v>
      </c>
      <c r="C26" s="4" t="s">
        <v>341</v>
      </c>
      <c r="D26" s="4" t="s">
        <v>166</v>
      </c>
      <c r="E26" s="4" t="s">
        <v>268</v>
      </c>
      <c r="F26" s="4" t="s">
        <v>10</v>
      </c>
      <c r="G26" s="4" t="s">
        <v>342</v>
      </c>
      <c r="H26" s="4" t="s">
        <v>343</v>
      </c>
      <c r="I26" s="11" t="s">
        <v>44</v>
      </c>
    </row>
    <row r="27" spans="1:9" x14ac:dyDescent="0.25">
      <c r="A27" s="5" t="s">
        <v>344</v>
      </c>
      <c r="B27" s="5" t="s">
        <v>345</v>
      </c>
      <c r="C27" s="5" t="s">
        <v>346</v>
      </c>
      <c r="D27" s="13" t="s">
        <v>163</v>
      </c>
      <c r="E27" s="5" t="s">
        <v>262</v>
      </c>
      <c r="F27" s="5" t="s">
        <v>331</v>
      </c>
      <c r="G27" s="5" t="s">
        <v>264</v>
      </c>
      <c r="H27" s="5" t="s">
        <v>347</v>
      </c>
      <c r="I27" s="11" t="s">
        <v>44</v>
      </c>
    </row>
    <row r="28" spans="1:9" x14ac:dyDescent="0.25">
      <c r="A28" s="4" t="s">
        <v>344</v>
      </c>
      <c r="B28" s="4" t="s">
        <v>348</v>
      </c>
      <c r="C28" s="4" t="s">
        <v>349</v>
      </c>
      <c r="D28" s="4" t="s">
        <v>166</v>
      </c>
      <c r="E28" s="4" t="s">
        <v>268</v>
      </c>
      <c r="F28" s="4" t="s">
        <v>273</v>
      </c>
      <c r="G28" s="4" t="s">
        <v>264</v>
      </c>
      <c r="H28" s="4" t="s">
        <v>264</v>
      </c>
      <c r="I28" s="11" t="s">
        <v>44</v>
      </c>
    </row>
    <row r="29" spans="1:9" x14ac:dyDescent="0.25">
      <c r="A29" s="5" t="s">
        <v>344</v>
      </c>
      <c r="B29" s="5" t="s">
        <v>350</v>
      </c>
      <c r="C29" s="5" t="s">
        <v>351</v>
      </c>
      <c r="D29" s="5" t="s">
        <v>166</v>
      </c>
      <c r="E29" s="5" t="s">
        <v>262</v>
      </c>
      <c r="F29" s="5" t="s">
        <v>289</v>
      </c>
      <c r="G29" s="5" t="s">
        <v>264</v>
      </c>
      <c r="H29" s="5" t="s">
        <v>352</v>
      </c>
      <c r="I29" s="11" t="s">
        <v>44</v>
      </c>
    </row>
    <row r="30" spans="1:9" x14ac:dyDescent="0.25">
      <c r="A30" s="4" t="s">
        <v>344</v>
      </c>
      <c r="B30" s="4" t="s">
        <v>353</v>
      </c>
      <c r="C30" s="4" t="s">
        <v>354</v>
      </c>
      <c r="D30" s="4" t="s">
        <v>171</v>
      </c>
      <c r="E30" s="4" t="s">
        <v>268</v>
      </c>
      <c r="F30" s="4" t="s">
        <v>273</v>
      </c>
      <c r="G30" s="4" t="s">
        <v>264</v>
      </c>
      <c r="H30" s="4" t="s">
        <v>355</v>
      </c>
      <c r="I30" s="11" t="s">
        <v>44</v>
      </c>
    </row>
    <row r="31" spans="1:9" x14ac:dyDescent="0.25">
      <c r="A31" s="5" t="s">
        <v>344</v>
      </c>
      <c r="B31" s="5" t="s">
        <v>356</v>
      </c>
      <c r="C31" s="5" t="s">
        <v>357</v>
      </c>
      <c r="D31" s="5" t="s">
        <v>171</v>
      </c>
      <c r="E31" s="5" t="s">
        <v>262</v>
      </c>
      <c r="F31" s="5" t="s">
        <v>289</v>
      </c>
      <c r="G31" s="5" t="s">
        <v>358</v>
      </c>
      <c r="H31" s="5" t="s">
        <v>359</v>
      </c>
      <c r="I31" s="11" t="s">
        <v>44</v>
      </c>
    </row>
    <row r="32" spans="1:9" x14ac:dyDescent="0.25">
      <c r="A32" s="4" t="s">
        <v>224</v>
      </c>
      <c r="B32" s="4" t="s">
        <v>228</v>
      </c>
      <c r="C32" s="4" t="s">
        <v>360</v>
      </c>
      <c r="D32" s="12" t="s">
        <v>163</v>
      </c>
      <c r="E32" s="4" t="s">
        <v>262</v>
      </c>
      <c r="F32" s="4" t="s">
        <v>289</v>
      </c>
      <c r="G32" s="4" t="s">
        <v>264</v>
      </c>
      <c r="H32" s="4" t="s">
        <v>361</v>
      </c>
      <c r="I32" s="11" t="s">
        <v>44</v>
      </c>
    </row>
    <row r="33" spans="1:9" x14ac:dyDescent="0.25">
      <c r="A33" s="5" t="s">
        <v>224</v>
      </c>
      <c r="B33" s="5" t="s">
        <v>362</v>
      </c>
      <c r="C33" s="5" t="s">
        <v>363</v>
      </c>
      <c r="D33" s="13" t="s">
        <v>163</v>
      </c>
      <c r="E33" s="5" t="s">
        <v>268</v>
      </c>
      <c r="F33" s="5" t="s">
        <v>273</v>
      </c>
      <c r="G33" s="5" t="s">
        <v>264</v>
      </c>
      <c r="H33" s="5" t="s">
        <v>264</v>
      </c>
      <c r="I33" s="11" t="s">
        <v>44</v>
      </c>
    </row>
    <row r="34" spans="1:9" x14ac:dyDescent="0.25">
      <c r="A34" s="4" t="s">
        <v>224</v>
      </c>
      <c r="B34" s="4" t="s">
        <v>364</v>
      </c>
      <c r="C34" s="4" t="s">
        <v>365</v>
      </c>
      <c r="D34" s="4" t="s">
        <v>166</v>
      </c>
      <c r="E34" s="4" t="s">
        <v>262</v>
      </c>
      <c r="F34" s="4" t="s">
        <v>289</v>
      </c>
      <c r="G34" s="4" t="s">
        <v>366</v>
      </c>
      <c r="H34" s="4" t="s">
        <v>367</v>
      </c>
      <c r="I34" s="11" t="s">
        <v>44</v>
      </c>
    </row>
    <row r="35" spans="1:9" x14ac:dyDescent="0.25">
      <c r="A35" s="5" t="s">
        <v>95</v>
      </c>
      <c r="B35" s="5" t="s">
        <v>368</v>
      </c>
      <c r="C35" s="5" t="s">
        <v>369</v>
      </c>
      <c r="D35" s="5" t="s">
        <v>171</v>
      </c>
      <c r="E35" s="5" t="s">
        <v>262</v>
      </c>
      <c r="F35" s="5" t="s">
        <v>313</v>
      </c>
      <c r="G35" s="5" t="s">
        <v>370</v>
      </c>
      <c r="H35" s="5" t="s">
        <v>371</v>
      </c>
      <c r="I35" s="11" t="s">
        <v>44</v>
      </c>
    </row>
    <row r="36" spans="1:9" x14ac:dyDescent="0.25">
      <c r="A36" s="4" t="s">
        <v>95</v>
      </c>
      <c r="B36" s="4" t="s">
        <v>372</v>
      </c>
      <c r="C36" s="4" t="s">
        <v>373</v>
      </c>
      <c r="D36" s="4" t="s">
        <v>171</v>
      </c>
      <c r="E36" s="4" t="s">
        <v>268</v>
      </c>
      <c r="F36" s="4" t="s">
        <v>273</v>
      </c>
      <c r="G36" s="4" t="s">
        <v>264</v>
      </c>
      <c r="H36" s="4" t="s">
        <v>264</v>
      </c>
      <c r="I36" s="11" t="s">
        <v>44</v>
      </c>
    </row>
    <row r="37" spans="1:9" x14ac:dyDescent="0.25">
      <c r="A37" s="5" t="s">
        <v>95</v>
      </c>
      <c r="B37" s="5" t="s">
        <v>374</v>
      </c>
      <c r="C37" s="5" t="s">
        <v>375</v>
      </c>
      <c r="D37" s="5" t="s">
        <v>171</v>
      </c>
      <c r="E37" s="5" t="s">
        <v>306</v>
      </c>
      <c r="F37" s="5" t="s">
        <v>307</v>
      </c>
      <c r="G37" s="5" t="s">
        <v>376</v>
      </c>
      <c r="H37" s="5" t="s">
        <v>377</v>
      </c>
      <c r="I37" s="11" t="s">
        <v>44</v>
      </c>
    </row>
    <row r="38" spans="1:9" x14ac:dyDescent="0.25">
      <c r="A38" s="4" t="s">
        <v>95</v>
      </c>
      <c r="B38" s="4" t="s">
        <v>378</v>
      </c>
      <c r="C38" s="4" t="s">
        <v>379</v>
      </c>
      <c r="D38" s="4" t="s">
        <v>171</v>
      </c>
      <c r="E38" s="4" t="s">
        <v>262</v>
      </c>
      <c r="F38" s="4" t="s">
        <v>313</v>
      </c>
      <c r="G38" s="4" t="s">
        <v>264</v>
      </c>
      <c r="H38" s="4" t="s">
        <v>380</v>
      </c>
      <c r="I38" s="11" t="s">
        <v>44</v>
      </c>
    </row>
    <row r="39" spans="1:9" x14ac:dyDescent="0.25">
      <c r="A39" s="5" t="s">
        <v>95</v>
      </c>
      <c r="B39" s="5" t="s">
        <v>381</v>
      </c>
      <c r="C39" s="5" t="s">
        <v>382</v>
      </c>
      <c r="D39" s="5" t="s">
        <v>171</v>
      </c>
      <c r="E39" s="5" t="s">
        <v>262</v>
      </c>
      <c r="F39" s="5" t="s">
        <v>289</v>
      </c>
      <c r="G39" s="5" t="s">
        <v>383</v>
      </c>
      <c r="H39" s="5" t="s">
        <v>384</v>
      </c>
      <c r="I39" s="11" t="s">
        <v>44</v>
      </c>
    </row>
    <row r="40" spans="1:9" x14ac:dyDescent="0.25">
      <c r="A40" s="4" t="s">
        <v>95</v>
      </c>
      <c r="B40" s="4" t="s">
        <v>385</v>
      </c>
      <c r="C40" s="4" t="s">
        <v>386</v>
      </c>
      <c r="D40" s="4" t="s">
        <v>171</v>
      </c>
      <c r="E40" s="4" t="s">
        <v>262</v>
      </c>
      <c r="F40" s="4" t="s">
        <v>289</v>
      </c>
      <c r="G40" s="4" t="s">
        <v>264</v>
      </c>
      <c r="H40" s="4" t="s">
        <v>387</v>
      </c>
      <c r="I40" s="11" t="s">
        <v>44</v>
      </c>
    </row>
    <row r="41" spans="1:9" x14ac:dyDescent="0.25">
      <c r="A41" s="5" t="s">
        <v>95</v>
      </c>
      <c r="B41" s="5" t="s">
        <v>388</v>
      </c>
      <c r="C41" s="5" t="s">
        <v>389</v>
      </c>
      <c r="D41" s="5" t="s">
        <v>171</v>
      </c>
      <c r="E41" s="5" t="s">
        <v>262</v>
      </c>
      <c r="F41" s="5" t="s">
        <v>289</v>
      </c>
      <c r="G41" s="5" t="s">
        <v>264</v>
      </c>
      <c r="H41" s="5" t="s">
        <v>390</v>
      </c>
      <c r="I41" s="11" t="s">
        <v>44</v>
      </c>
    </row>
    <row r="42" spans="1:9" x14ac:dyDescent="0.25">
      <c r="A42" s="4" t="s">
        <v>95</v>
      </c>
      <c r="B42" s="4" t="s">
        <v>391</v>
      </c>
      <c r="C42" s="4" t="s">
        <v>392</v>
      </c>
      <c r="D42" s="4" t="s">
        <v>171</v>
      </c>
      <c r="E42" s="4" t="s">
        <v>262</v>
      </c>
      <c r="F42" s="4" t="s">
        <v>313</v>
      </c>
      <c r="G42" s="4" t="s">
        <v>264</v>
      </c>
      <c r="H42" s="4" t="s">
        <v>393</v>
      </c>
      <c r="I42" s="11" t="s">
        <v>44</v>
      </c>
    </row>
    <row r="43" spans="1:9" x14ac:dyDescent="0.25">
      <c r="A43" s="5" t="s">
        <v>95</v>
      </c>
      <c r="B43" s="5" t="s">
        <v>394</v>
      </c>
      <c r="C43" s="5" t="s">
        <v>395</v>
      </c>
      <c r="D43" s="5" t="s">
        <v>171</v>
      </c>
      <c r="E43" s="5" t="s">
        <v>262</v>
      </c>
      <c r="F43" s="5" t="s">
        <v>331</v>
      </c>
      <c r="G43" s="5" t="s">
        <v>264</v>
      </c>
      <c r="H43" s="5" t="s">
        <v>396</v>
      </c>
      <c r="I43" s="11" t="s">
        <v>44</v>
      </c>
    </row>
    <row r="44" spans="1:9" x14ac:dyDescent="0.25">
      <c r="A44" s="4" t="s">
        <v>95</v>
      </c>
      <c r="B44" s="4" t="s">
        <v>196</v>
      </c>
      <c r="C44" s="4" t="s">
        <v>397</v>
      </c>
      <c r="D44" s="4" t="s">
        <v>171</v>
      </c>
      <c r="E44" s="4" t="s">
        <v>262</v>
      </c>
      <c r="F44" s="4" t="s">
        <v>289</v>
      </c>
      <c r="G44" s="4" t="s">
        <v>398</v>
      </c>
      <c r="H44" s="4" t="s">
        <v>399</v>
      </c>
      <c r="I44" s="11" t="s">
        <v>44</v>
      </c>
    </row>
    <row r="45" spans="1:9" x14ac:dyDescent="0.25">
      <c r="A45" s="5" t="s">
        <v>111</v>
      </c>
      <c r="B45" s="5" t="s">
        <v>400</v>
      </c>
      <c r="C45" s="5" t="s">
        <v>401</v>
      </c>
      <c r="D45" s="5" t="s">
        <v>171</v>
      </c>
      <c r="E45" s="5" t="s">
        <v>262</v>
      </c>
      <c r="F45" s="5" t="s">
        <v>313</v>
      </c>
      <c r="G45" s="5" t="s">
        <v>402</v>
      </c>
      <c r="H45" s="5" t="s">
        <v>403</v>
      </c>
      <c r="I45" s="11" t="s">
        <v>44</v>
      </c>
    </row>
    <row r="46" spans="1:9" x14ac:dyDescent="0.25">
      <c r="A46" s="4" t="s">
        <v>111</v>
      </c>
      <c r="B46" s="4" t="s">
        <v>404</v>
      </c>
      <c r="C46" s="4" t="s">
        <v>405</v>
      </c>
      <c r="D46" s="4" t="s">
        <v>166</v>
      </c>
      <c r="E46" s="4" t="s">
        <v>268</v>
      </c>
      <c r="F46" s="4" t="s">
        <v>273</v>
      </c>
      <c r="G46" s="4" t="s">
        <v>366</v>
      </c>
      <c r="H46" s="4" t="s">
        <v>406</v>
      </c>
      <c r="I46" s="11" t="s">
        <v>44</v>
      </c>
    </row>
    <row r="47" spans="1:9" x14ac:dyDescent="0.25">
      <c r="A47" s="5" t="s">
        <v>111</v>
      </c>
      <c r="B47" s="5" t="s">
        <v>407</v>
      </c>
      <c r="C47" s="5" t="s">
        <v>408</v>
      </c>
      <c r="D47" s="5" t="s">
        <v>171</v>
      </c>
      <c r="E47" s="5" t="s">
        <v>268</v>
      </c>
      <c r="F47" s="5" t="s">
        <v>273</v>
      </c>
      <c r="G47" s="5" t="s">
        <v>366</v>
      </c>
      <c r="H47" s="5" t="s">
        <v>409</v>
      </c>
      <c r="I47" s="11" t="s">
        <v>44</v>
      </c>
    </row>
    <row r="48" spans="1:9" x14ac:dyDescent="0.25">
      <c r="A48" s="4" t="s">
        <v>111</v>
      </c>
      <c r="B48" s="4" t="s">
        <v>410</v>
      </c>
      <c r="C48" s="4" t="s">
        <v>411</v>
      </c>
      <c r="D48" s="4" t="s">
        <v>166</v>
      </c>
      <c r="E48" s="4" t="s">
        <v>268</v>
      </c>
      <c r="F48" s="4" t="s">
        <v>14</v>
      </c>
      <c r="G48" s="4" t="s">
        <v>264</v>
      </c>
      <c r="H48" s="4" t="s">
        <v>412</v>
      </c>
      <c r="I48" s="11" t="s">
        <v>44</v>
      </c>
    </row>
    <row r="49" spans="1:9" x14ac:dyDescent="0.25">
      <c r="A49" s="5" t="s">
        <v>413</v>
      </c>
      <c r="B49" s="5" t="s">
        <v>414</v>
      </c>
      <c r="C49" s="5" t="s">
        <v>415</v>
      </c>
      <c r="D49" s="5" t="s">
        <v>171</v>
      </c>
      <c r="E49" s="5" t="s">
        <v>306</v>
      </c>
      <c r="F49" s="5" t="s">
        <v>34</v>
      </c>
      <c r="G49" s="5" t="s">
        <v>416</v>
      </c>
      <c r="H49" s="5" t="s">
        <v>417</v>
      </c>
      <c r="I49" s="11" t="s">
        <v>44</v>
      </c>
    </row>
    <row r="50" spans="1:9" x14ac:dyDescent="0.25">
      <c r="A50" s="4" t="s">
        <v>413</v>
      </c>
      <c r="B50" s="4" t="s">
        <v>418</v>
      </c>
      <c r="C50" s="4" t="s">
        <v>419</v>
      </c>
      <c r="D50" s="4" t="s">
        <v>166</v>
      </c>
      <c r="E50" s="4" t="s">
        <v>306</v>
      </c>
      <c r="F50" s="4" t="s">
        <v>34</v>
      </c>
      <c r="G50" s="4" t="s">
        <v>420</v>
      </c>
      <c r="H50" s="4" t="s">
        <v>421</v>
      </c>
      <c r="I50" s="11" t="s">
        <v>44</v>
      </c>
    </row>
    <row r="51" spans="1:9" x14ac:dyDescent="0.25">
      <c r="A51" s="5" t="s">
        <v>413</v>
      </c>
      <c r="B51" s="5" t="s">
        <v>422</v>
      </c>
      <c r="C51" s="5" t="s">
        <v>423</v>
      </c>
      <c r="D51" s="5" t="s">
        <v>171</v>
      </c>
      <c r="E51" s="5" t="s">
        <v>306</v>
      </c>
      <c r="F51" s="5" t="s">
        <v>34</v>
      </c>
      <c r="G51" s="5" t="s">
        <v>424</v>
      </c>
      <c r="H51" s="5" t="s">
        <v>425</v>
      </c>
      <c r="I51" s="11" t="s">
        <v>44</v>
      </c>
    </row>
    <row r="52" spans="1:9" x14ac:dyDescent="0.25">
      <c r="A52" s="4" t="s">
        <v>413</v>
      </c>
      <c r="B52" s="4" t="s">
        <v>426</v>
      </c>
      <c r="C52" s="4" t="s">
        <v>337</v>
      </c>
      <c r="D52" s="4" t="s">
        <v>171</v>
      </c>
      <c r="E52" s="4" t="s">
        <v>262</v>
      </c>
      <c r="F52" s="4" t="s">
        <v>313</v>
      </c>
      <c r="G52" s="4" t="s">
        <v>427</v>
      </c>
      <c r="H52" s="4" t="s">
        <v>264</v>
      </c>
      <c r="I52" s="11" t="s">
        <v>44</v>
      </c>
    </row>
    <row r="53" spans="1:9" x14ac:dyDescent="0.25">
      <c r="A53" s="5" t="s">
        <v>44</v>
      </c>
      <c r="B53" s="5" t="s">
        <v>44</v>
      </c>
      <c r="C53" s="5" t="s">
        <v>44</v>
      </c>
      <c r="D53" s="5" t="s">
        <v>44</v>
      </c>
      <c r="E53" s="5" t="s">
        <v>44</v>
      </c>
      <c r="F53" s="5" t="s">
        <v>44</v>
      </c>
      <c r="G53" s="5" t="s">
        <v>44</v>
      </c>
      <c r="H53" s="5" t="s">
        <v>44</v>
      </c>
      <c r="I53" s="11" t="s">
        <v>44</v>
      </c>
    </row>
    <row r="54" spans="1:9" x14ac:dyDescent="0.25">
      <c r="A54" s="4" t="s">
        <v>44</v>
      </c>
      <c r="B54" s="4" t="s">
        <v>44</v>
      </c>
      <c r="C54" s="4" t="s">
        <v>44</v>
      </c>
      <c r="D54" s="4" t="s">
        <v>44</v>
      </c>
      <c r="E54" s="4" t="s">
        <v>44</v>
      </c>
      <c r="F54" s="4" t="s">
        <v>44</v>
      </c>
      <c r="G54" s="4" t="s">
        <v>44</v>
      </c>
      <c r="H54" s="4" t="s">
        <v>44</v>
      </c>
      <c r="I54" s="11" t="s">
        <v>44</v>
      </c>
    </row>
    <row r="55" spans="1:9" x14ac:dyDescent="0.25">
      <c r="A55" s="5" t="s">
        <v>44</v>
      </c>
      <c r="B55" s="5" t="s">
        <v>44</v>
      </c>
      <c r="C55" s="5" t="s">
        <v>44</v>
      </c>
      <c r="D55" s="5" t="s">
        <v>44</v>
      </c>
      <c r="E55" s="5" t="s">
        <v>44</v>
      </c>
      <c r="F55" s="5" t="s">
        <v>44</v>
      </c>
      <c r="G55" s="5" t="s">
        <v>44</v>
      </c>
      <c r="H55" s="5" t="s">
        <v>44</v>
      </c>
      <c r="I55" s="11" t="s">
        <v>44</v>
      </c>
    </row>
    <row r="56" spans="1:9" x14ac:dyDescent="0.25">
      <c r="A56" s="4" t="s">
        <v>44</v>
      </c>
      <c r="B56" s="4" t="s">
        <v>44</v>
      </c>
      <c r="C56" s="4" t="s">
        <v>44</v>
      </c>
      <c r="D56" s="4" t="s">
        <v>44</v>
      </c>
      <c r="E56" s="4" t="s">
        <v>44</v>
      </c>
      <c r="F56" s="4" t="s">
        <v>44</v>
      </c>
      <c r="G56" s="4" t="s">
        <v>44</v>
      </c>
      <c r="H56" s="4" t="s">
        <v>44</v>
      </c>
      <c r="I56" s="11" t="s">
        <v>44</v>
      </c>
    </row>
    <row r="57" spans="1:9" x14ac:dyDescent="0.25">
      <c r="A57" s="5" t="s">
        <v>44</v>
      </c>
      <c r="B57" s="5" t="s">
        <v>44</v>
      </c>
      <c r="C57" s="5" t="s">
        <v>44</v>
      </c>
      <c r="D57" s="5" t="s">
        <v>44</v>
      </c>
      <c r="E57" s="5" t="s">
        <v>44</v>
      </c>
      <c r="F57" s="5" t="s">
        <v>44</v>
      </c>
      <c r="G57" s="5" t="s">
        <v>44</v>
      </c>
      <c r="H57" s="5" t="s">
        <v>44</v>
      </c>
      <c r="I57" s="11" t="s">
        <v>44</v>
      </c>
    </row>
  </sheetData>
  <autoFilter ref="A3:I57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8" customWidth="1"/>
    <col min="2" max="2" width="50" customWidth="1"/>
    <col min="3" max="3" width="16" customWidth="1"/>
    <col min="5" max="5" width="56" customWidth="1"/>
  </cols>
  <sheetData>
    <row r="1" ht="30" customHeight="1" spans="1:6" x14ac:dyDescent="0.25">
      <c r="A1" s="1" t="s">
        <v>428</v>
      </c>
      <c r="B1" s="1"/>
      <c r="C1" s="1"/>
      <c r="D1" s="1"/>
      <c r="E1" s="1"/>
      <c r="F1" s="1"/>
    </row>
    <row r="2" ht="26" customHeight="1" spans="1:6" x14ac:dyDescent="0.25">
      <c r="A2" s="2" t="s">
        <v>429</v>
      </c>
      <c r="B2" s="2"/>
      <c r="C2" s="2"/>
      <c r="D2" s="2"/>
      <c r="E2" s="2"/>
      <c r="F2" s="2"/>
    </row>
    <row r="3" ht="24" customHeight="1" spans="1:6" x14ac:dyDescent="0.25">
      <c r="A3" s="3" t="s">
        <v>430</v>
      </c>
      <c r="B3" s="3" t="s">
        <v>431</v>
      </c>
      <c r="C3" s="3" t="s">
        <v>432</v>
      </c>
      <c r="D3" s="3" t="s">
        <v>157</v>
      </c>
      <c r="E3" s="3" t="s">
        <v>258</v>
      </c>
      <c r="F3" s="3" t="s">
        <v>158</v>
      </c>
    </row>
    <row r="4" spans="1:6" x14ac:dyDescent="0.25">
      <c r="A4" s="4" t="s">
        <v>433</v>
      </c>
      <c r="B4" s="4" t="s">
        <v>434</v>
      </c>
      <c r="C4" s="4" t="s">
        <v>435</v>
      </c>
      <c r="D4" s="4" t="s">
        <v>166</v>
      </c>
      <c r="E4" s="4" t="s">
        <v>436</v>
      </c>
      <c r="F4" s="11" t="s">
        <v>44</v>
      </c>
    </row>
    <row r="5" spans="1:6" x14ac:dyDescent="0.25">
      <c r="A5" s="5" t="s">
        <v>437</v>
      </c>
      <c r="B5" s="5" t="s">
        <v>438</v>
      </c>
      <c r="C5" s="5" t="s">
        <v>439</v>
      </c>
      <c r="D5" s="5" t="s">
        <v>166</v>
      </c>
      <c r="E5" s="5" t="s">
        <v>440</v>
      </c>
      <c r="F5" s="11" t="s">
        <v>44</v>
      </c>
    </row>
    <row r="6" spans="1:6" x14ac:dyDescent="0.25">
      <c r="A6" s="4" t="s">
        <v>441</v>
      </c>
      <c r="B6" s="4" t="s">
        <v>442</v>
      </c>
      <c r="C6" s="4" t="s">
        <v>443</v>
      </c>
      <c r="D6" s="12" t="s">
        <v>163</v>
      </c>
      <c r="E6" s="4" t="s">
        <v>444</v>
      </c>
      <c r="F6" s="11" t="s">
        <v>44</v>
      </c>
    </row>
    <row r="7" spans="1:6" x14ac:dyDescent="0.25">
      <c r="A7" s="5" t="s">
        <v>445</v>
      </c>
      <c r="B7" s="5" t="s">
        <v>446</v>
      </c>
      <c r="C7" s="5" t="s">
        <v>443</v>
      </c>
      <c r="D7" s="13" t="s">
        <v>163</v>
      </c>
      <c r="E7" s="5" t="s">
        <v>447</v>
      </c>
      <c r="F7" s="11" t="s">
        <v>44</v>
      </c>
    </row>
    <row r="8" spans="1:6" x14ac:dyDescent="0.25">
      <c r="A8" s="4" t="s">
        <v>448</v>
      </c>
      <c r="B8" s="4" t="s">
        <v>449</v>
      </c>
      <c r="C8" s="4" t="s">
        <v>439</v>
      </c>
      <c r="D8" s="4" t="s">
        <v>166</v>
      </c>
      <c r="E8" s="4" t="s">
        <v>450</v>
      </c>
      <c r="F8" s="11" t="s">
        <v>44</v>
      </c>
    </row>
    <row r="9" spans="1:6" x14ac:dyDescent="0.25">
      <c r="A9" s="5" t="s">
        <v>451</v>
      </c>
      <c r="B9" s="5" t="s">
        <v>452</v>
      </c>
      <c r="C9" s="5" t="s">
        <v>443</v>
      </c>
      <c r="D9" s="5" t="s">
        <v>166</v>
      </c>
      <c r="E9" s="5" t="s">
        <v>453</v>
      </c>
      <c r="F9" s="11" t="s">
        <v>44</v>
      </c>
    </row>
    <row r="10" spans="1:6" x14ac:dyDescent="0.25">
      <c r="A10" s="4" t="s">
        <v>454</v>
      </c>
      <c r="B10" s="4" t="s">
        <v>455</v>
      </c>
      <c r="C10" s="4" t="s">
        <v>456</v>
      </c>
      <c r="D10" s="4" t="s">
        <v>171</v>
      </c>
      <c r="E10" s="4" t="s">
        <v>457</v>
      </c>
      <c r="F10" s="11" t="s">
        <v>44</v>
      </c>
    </row>
    <row r="11" spans="1:6" x14ac:dyDescent="0.25">
      <c r="A11" s="5" t="s">
        <v>458</v>
      </c>
      <c r="B11" s="5" t="s">
        <v>459</v>
      </c>
      <c r="C11" s="5" t="s">
        <v>443</v>
      </c>
      <c r="D11" s="13" t="s">
        <v>163</v>
      </c>
      <c r="E11" s="5" t="s">
        <v>264</v>
      </c>
      <c r="F11" s="11" t="s">
        <v>44</v>
      </c>
    </row>
    <row r="12" spans="1:6" x14ac:dyDescent="0.25">
      <c r="A12" s="4" t="s">
        <v>460</v>
      </c>
      <c r="B12" s="4" t="s">
        <v>461</v>
      </c>
      <c r="C12" s="4" t="s">
        <v>439</v>
      </c>
      <c r="D12" s="4" t="s">
        <v>171</v>
      </c>
      <c r="E12" s="4" t="s">
        <v>462</v>
      </c>
      <c r="F12" s="11" t="s">
        <v>44</v>
      </c>
    </row>
    <row r="13" spans="1:6" x14ac:dyDescent="0.25">
      <c r="A13" s="5" t="s">
        <v>463</v>
      </c>
      <c r="B13" s="5" t="s">
        <v>464</v>
      </c>
      <c r="C13" s="5" t="s">
        <v>439</v>
      </c>
      <c r="D13" s="5" t="s">
        <v>166</v>
      </c>
      <c r="E13" s="5" t="s">
        <v>465</v>
      </c>
      <c r="F13" s="11" t="s">
        <v>44</v>
      </c>
    </row>
    <row r="14" spans="1:6" x14ac:dyDescent="0.25">
      <c r="A14" s="4" t="s">
        <v>466</v>
      </c>
      <c r="B14" s="4" t="s">
        <v>467</v>
      </c>
      <c r="C14" s="4" t="s">
        <v>439</v>
      </c>
      <c r="D14" s="4" t="s">
        <v>171</v>
      </c>
      <c r="E14" s="4" t="s">
        <v>468</v>
      </c>
      <c r="F14" s="11" t="s">
        <v>44</v>
      </c>
    </row>
    <row r="15" spans="1:6" x14ac:dyDescent="0.25">
      <c r="A15" s="5" t="s">
        <v>469</v>
      </c>
      <c r="B15" s="5" t="s">
        <v>470</v>
      </c>
      <c r="C15" s="5" t="s">
        <v>439</v>
      </c>
      <c r="D15" s="5" t="s">
        <v>166</v>
      </c>
      <c r="E15" s="5" t="s">
        <v>264</v>
      </c>
      <c r="F15" s="11" t="s">
        <v>44</v>
      </c>
    </row>
    <row r="16" spans="1:6" x14ac:dyDescent="0.25">
      <c r="A16" s="4" t="s">
        <v>471</v>
      </c>
      <c r="B16" s="4" t="s">
        <v>472</v>
      </c>
      <c r="C16" s="4" t="s">
        <v>439</v>
      </c>
      <c r="D16" s="4" t="s">
        <v>171</v>
      </c>
      <c r="E16" s="4" t="s">
        <v>473</v>
      </c>
      <c r="F16" s="11" t="s">
        <v>44</v>
      </c>
    </row>
  </sheetData>
  <autoFilter ref="A3:F16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4" customWidth="1"/>
    <col min="3" max="3" width="46" customWidth="1"/>
    <col min="4" max="4" width="30" customWidth="1"/>
    <col min="5" max="6" width="12" customWidth="1"/>
    <col min="7" max="7" width="56" customWidth="1"/>
    <col min="8" max="8" width="8" customWidth="1"/>
  </cols>
  <sheetData>
    <row r="1" ht="30" customHeight="1" spans="1:8" x14ac:dyDescent="0.25">
      <c r="A1" s="1" t="s">
        <v>474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2" t="s">
        <v>475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476</v>
      </c>
      <c r="C3" s="3" t="s">
        <v>4</v>
      </c>
      <c r="D3" s="3" t="s">
        <v>477</v>
      </c>
      <c r="E3" s="3" t="s">
        <v>6</v>
      </c>
      <c r="F3" s="3" t="s">
        <v>478</v>
      </c>
      <c r="G3" s="3" t="s">
        <v>258</v>
      </c>
      <c r="H3" s="3" t="s">
        <v>479</v>
      </c>
    </row>
    <row r="4" spans="1:8" x14ac:dyDescent="0.25">
      <c r="A4" s="4">
        <v>1</v>
      </c>
      <c r="B4" s="4" t="s">
        <v>480</v>
      </c>
      <c r="C4" s="4" t="s">
        <v>481</v>
      </c>
      <c r="D4" s="4" t="s">
        <v>482</v>
      </c>
      <c r="E4" s="4" t="s">
        <v>483</v>
      </c>
      <c r="F4" s="4" t="s">
        <v>484</v>
      </c>
      <c r="G4" s="4" t="s">
        <v>485</v>
      </c>
      <c r="H4" s="11" t="s">
        <v>44</v>
      </c>
    </row>
    <row r="5" spans="1:8" x14ac:dyDescent="0.25">
      <c r="A5" s="5">
        <v>2</v>
      </c>
      <c r="B5" s="5" t="s">
        <v>480</v>
      </c>
      <c r="C5" s="5" t="s">
        <v>486</v>
      </c>
      <c r="D5" s="5" t="s">
        <v>487</v>
      </c>
      <c r="E5" s="5" t="s">
        <v>483</v>
      </c>
      <c r="F5" s="5" t="s">
        <v>484</v>
      </c>
      <c r="G5" s="5" t="s">
        <v>488</v>
      </c>
      <c r="H5" s="11" t="s">
        <v>44</v>
      </c>
    </row>
    <row r="6" spans="1:8" x14ac:dyDescent="0.25">
      <c r="A6" s="4">
        <v>3</v>
      </c>
      <c r="B6" s="4" t="s">
        <v>489</v>
      </c>
      <c r="C6" s="4" t="s">
        <v>490</v>
      </c>
      <c r="D6" s="4" t="s">
        <v>491</v>
      </c>
      <c r="E6" s="4" t="s">
        <v>483</v>
      </c>
      <c r="F6" s="4" t="s">
        <v>484</v>
      </c>
      <c r="G6" s="4" t="s">
        <v>492</v>
      </c>
      <c r="H6" s="11" t="s">
        <v>44</v>
      </c>
    </row>
    <row r="7" spans="1:8" x14ac:dyDescent="0.25">
      <c r="A7" s="5">
        <v>4</v>
      </c>
      <c r="B7" s="5" t="s">
        <v>489</v>
      </c>
      <c r="C7" s="5" t="s">
        <v>493</v>
      </c>
      <c r="D7" s="5" t="s">
        <v>494</v>
      </c>
      <c r="E7" s="5" t="s">
        <v>495</v>
      </c>
      <c r="F7" s="5" t="s">
        <v>484</v>
      </c>
      <c r="G7" s="5" t="s">
        <v>496</v>
      </c>
      <c r="H7" s="11" t="s">
        <v>44</v>
      </c>
    </row>
    <row r="8" spans="1:8" x14ac:dyDescent="0.25">
      <c r="A8" s="4">
        <v>5</v>
      </c>
      <c r="B8" s="4" t="s">
        <v>489</v>
      </c>
      <c r="C8" s="4" t="s">
        <v>497</v>
      </c>
      <c r="D8" s="4" t="s">
        <v>498</v>
      </c>
      <c r="E8" s="4" t="s">
        <v>24</v>
      </c>
      <c r="F8" s="4" t="s">
        <v>484</v>
      </c>
      <c r="G8" s="4" t="s">
        <v>499</v>
      </c>
      <c r="H8" s="11" t="s">
        <v>44</v>
      </c>
    </row>
    <row r="9" spans="1:8" x14ac:dyDescent="0.25">
      <c r="A9" s="5">
        <v>6</v>
      </c>
      <c r="B9" s="5" t="s">
        <v>489</v>
      </c>
      <c r="C9" s="5" t="s">
        <v>500</v>
      </c>
      <c r="D9" s="5" t="s">
        <v>501</v>
      </c>
      <c r="E9" s="5" t="s">
        <v>10</v>
      </c>
      <c r="F9" s="5" t="s">
        <v>484</v>
      </c>
      <c r="G9" s="5" t="s">
        <v>502</v>
      </c>
      <c r="H9" s="11" t="s">
        <v>44</v>
      </c>
    </row>
    <row r="10" spans="1:8" x14ac:dyDescent="0.25">
      <c r="A10" s="4">
        <v>7</v>
      </c>
      <c r="B10" s="4" t="s">
        <v>489</v>
      </c>
      <c r="C10" s="4" t="s">
        <v>503</v>
      </c>
      <c r="D10" s="4" t="s">
        <v>504</v>
      </c>
      <c r="E10" s="4" t="s">
        <v>483</v>
      </c>
      <c r="F10" s="4" t="s">
        <v>484</v>
      </c>
      <c r="G10" s="4" t="s">
        <v>505</v>
      </c>
      <c r="H10" s="11" t="s">
        <v>44</v>
      </c>
    </row>
    <row r="11" spans="1:8" x14ac:dyDescent="0.25">
      <c r="A11" s="5">
        <v>8</v>
      </c>
      <c r="B11" s="5" t="s">
        <v>506</v>
      </c>
      <c r="C11" s="5" t="s">
        <v>507</v>
      </c>
      <c r="D11" s="5" t="s">
        <v>508</v>
      </c>
      <c r="E11" s="5" t="s">
        <v>483</v>
      </c>
      <c r="F11" s="5" t="s">
        <v>484</v>
      </c>
      <c r="G11" s="5" t="s">
        <v>509</v>
      </c>
      <c r="H11" s="11" t="s">
        <v>44</v>
      </c>
    </row>
    <row r="12" spans="1:8" x14ac:dyDescent="0.25">
      <c r="A12" s="4">
        <v>9</v>
      </c>
      <c r="B12" s="4" t="s">
        <v>506</v>
      </c>
      <c r="C12" s="4" t="s">
        <v>510</v>
      </c>
      <c r="D12" s="4" t="s">
        <v>511</v>
      </c>
      <c r="E12" s="4" t="s">
        <v>14</v>
      </c>
      <c r="F12" s="4" t="s">
        <v>484</v>
      </c>
      <c r="G12" s="4" t="s">
        <v>512</v>
      </c>
      <c r="H12" s="11" t="s">
        <v>44</v>
      </c>
    </row>
    <row r="13" spans="1:8" x14ac:dyDescent="0.25">
      <c r="A13" s="5">
        <v>10</v>
      </c>
      <c r="B13" s="5" t="s">
        <v>506</v>
      </c>
      <c r="C13" s="5" t="s">
        <v>513</v>
      </c>
      <c r="D13" s="5" t="s">
        <v>514</v>
      </c>
      <c r="E13" s="5" t="s">
        <v>495</v>
      </c>
      <c r="F13" s="5" t="s">
        <v>484</v>
      </c>
      <c r="G13" s="5" t="s">
        <v>515</v>
      </c>
      <c r="H13" s="11" t="s">
        <v>44</v>
      </c>
    </row>
    <row r="14" spans="1:8" x14ac:dyDescent="0.25">
      <c r="A14" s="4">
        <v>11</v>
      </c>
      <c r="B14" s="4" t="s">
        <v>516</v>
      </c>
      <c r="C14" s="4" t="s">
        <v>517</v>
      </c>
      <c r="D14" s="4" t="s">
        <v>518</v>
      </c>
      <c r="E14" s="4" t="s">
        <v>10</v>
      </c>
      <c r="F14" s="4" t="s">
        <v>519</v>
      </c>
      <c r="G14" s="4" t="s">
        <v>520</v>
      </c>
      <c r="H14" s="11" t="s">
        <v>44</v>
      </c>
    </row>
    <row r="15" spans="1:8" x14ac:dyDescent="0.25">
      <c r="A15" s="5">
        <v>12</v>
      </c>
      <c r="B15" s="5" t="s">
        <v>516</v>
      </c>
      <c r="C15" s="5" t="s">
        <v>521</v>
      </c>
      <c r="D15" s="5" t="s">
        <v>522</v>
      </c>
      <c r="E15" s="5" t="s">
        <v>495</v>
      </c>
      <c r="F15" s="5" t="s">
        <v>264</v>
      </c>
      <c r="G15" s="5" t="s">
        <v>523</v>
      </c>
      <c r="H15" s="11" t="s">
        <v>44</v>
      </c>
    </row>
    <row r="16" spans="1:8" x14ac:dyDescent="0.25">
      <c r="A16" s="4">
        <v>13</v>
      </c>
      <c r="B16" s="4" t="s">
        <v>524</v>
      </c>
      <c r="C16" s="4" t="s">
        <v>525</v>
      </c>
      <c r="D16" s="4" t="s">
        <v>526</v>
      </c>
      <c r="E16" s="4" t="s">
        <v>10</v>
      </c>
      <c r="F16" s="4" t="s">
        <v>484</v>
      </c>
      <c r="G16" s="4" t="s">
        <v>527</v>
      </c>
      <c r="H16" s="11" t="s">
        <v>44</v>
      </c>
    </row>
    <row r="17" spans="1:8" x14ac:dyDescent="0.25">
      <c r="A17" s="5">
        <v>14</v>
      </c>
      <c r="B17" s="5" t="s">
        <v>528</v>
      </c>
      <c r="C17" s="5" t="s">
        <v>529</v>
      </c>
      <c r="D17" s="5" t="s">
        <v>530</v>
      </c>
      <c r="E17" s="5" t="s">
        <v>10</v>
      </c>
      <c r="F17" s="5" t="s">
        <v>484</v>
      </c>
      <c r="G17" s="5" t="s">
        <v>531</v>
      </c>
      <c r="H17" s="11" t="s">
        <v>44</v>
      </c>
    </row>
    <row r="18" spans="1:8" x14ac:dyDescent="0.25">
      <c r="A18" s="4">
        <v>15</v>
      </c>
      <c r="B18" s="4" t="s">
        <v>532</v>
      </c>
      <c r="C18" s="4" t="s">
        <v>533</v>
      </c>
      <c r="D18" s="4" t="s">
        <v>534</v>
      </c>
      <c r="E18" s="4" t="s">
        <v>483</v>
      </c>
      <c r="F18" s="4" t="s">
        <v>484</v>
      </c>
      <c r="G18" s="4" t="s">
        <v>535</v>
      </c>
      <c r="H18" s="11" t="s">
        <v>44</v>
      </c>
    </row>
    <row r="19" spans="1:8" x14ac:dyDescent="0.25">
      <c r="A19" s="5">
        <v>16</v>
      </c>
      <c r="B19" s="5" t="s">
        <v>536</v>
      </c>
      <c r="C19" s="5" t="s">
        <v>537</v>
      </c>
      <c r="D19" s="5" t="s">
        <v>538</v>
      </c>
      <c r="E19" s="5" t="s">
        <v>539</v>
      </c>
      <c r="F19" s="5" t="s">
        <v>484</v>
      </c>
      <c r="G19" s="5" t="s">
        <v>540</v>
      </c>
      <c r="H19" s="11" t="s">
        <v>44</v>
      </c>
    </row>
  </sheetData>
  <autoFilter ref="A3:H1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36" customWidth="1"/>
    <col min="2" max="3" width="34" customWidth="1"/>
    <col min="5" max="5" width="52" customWidth="1"/>
    <col min="6" max="6" width="13" customWidth="1"/>
  </cols>
  <sheetData>
    <row r="1" ht="30" customHeight="1" spans="1:6" x14ac:dyDescent="0.25">
      <c r="A1" s="1" t="s">
        <v>541</v>
      </c>
      <c r="B1" s="1"/>
      <c r="C1" s="1"/>
      <c r="D1" s="1"/>
      <c r="E1" s="1"/>
      <c r="F1" s="1"/>
    </row>
    <row r="2" ht="26" customHeight="1" spans="1:6" x14ac:dyDescent="0.25">
      <c r="A2" s="2" t="s">
        <v>542</v>
      </c>
      <c r="B2" s="2"/>
      <c r="C2" s="2"/>
      <c r="D2" s="2"/>
      <c r="E2" s="2"/>
      <c r="F2" s="2"/>
    </row>
    <row r="3" ht="24" customHeight="1" spans="1:6" x14ac:dyDescent="0.25">
      <c r="A3" s="3" t="s">
        <v>543</v>
      </c>
      <c r="B3" s="3" t="s">
        <v>544</v>
      </c>
      <c r="C3" s="3" t="s">
        <v>545</v>
      </c>
      <c r="D3" s="3" t="s">
        <v>163</v>
      </c>
      <c r="E3" s="3" t="s">
        <v>546</v>
      </c>
      <c r="F3" s="3" t="s">
        <v>547</v>
      </c>
    </row>
    <row r="4" spans="1:6" x14ac:dyDescent="0.25">
      <c r="A4" s="4" t="s">
        <v>548</v>
      </c>
      <c r="B4" s="4" t="s">
        <v>549</v>
      </c>
      <c r="C4" s="4" t="s">
        <v>550</v>
      </c>
      <c r="D4" s="4" t="s">
        <v>163</v>
      </c>
      <c r="E4" s="4" t="s">
        <v>551</v>
      </c>
      <c r="F4" s="4" t="s">
        <v>552</v>
      </c>
    </row>
    <row r="5" spans="1:6" x14ac:dyDescent="0.25">
      <c r="A5" s="5" t="s">
        <v>553</v>
      </c>
      <c r="B5" s="5" t="s">
        <v>554</v>
      </c>
      <c r="C5" s="5" t="s">
        <v>550</v>
      </c>
      <c r="D5" s="5" t="s">
        <v>163</v>
      </c>
      <c r="E5" s="5" t="s">
        <v>555</v>
      </c>
      <c r="F5" s="5" t="s">
        <v>552</v>
      </c>
    </row>
    <row r="6" spans="1:6" x14ac:dyDescent="0.25">
      <c r="A6" s="4" t="s">
        <v>556</v>
      </c>
      <c r="B6" s="4" t="s">
        <v>557</v>
      </c>
      <c r="C6" s="4" t="s">
        <v>550</v>
      </c>
      <c r="D6" s="4" t="s">
        <v>163</v>
      </c>
      <c r="E6" s="4" t="s">
        <v>558</v>
      </c>
      <c r="F6" s="4" t="s">
        <v>559</v>
      </c>
    </row>
    <row r="7" spans="1:6" x14ac:dyDescent="0.25">
      <c r="A7" s="5" t="s">
        <v>560</v>
      </c>
      <c r="B7" s="5" t="s">
        <v>561</v>
      </c>
      <c r="C7" s="5" t="s">
        <v>562</v>
      </c>
      <c r="D7" s="5" t="s">
        <v>171</v>
      </c>
      <c r="E7" s="5" t="s">
        <v>563</v>
      </c>
      <c r="F7" s="5" t="s">
        <v>559</v>
      </c>
    </row>
    <row r="8" spans="1:6" x14ac:dyDescent="0.25">
      <c r="A8" s="4" t="s">
        <v>564</v>
      </c>
      <c r="B8" s="4" t="s">
        <v>565</v>
      </c>
      <c r="C8" s="4" t="s">
        <v>566</v>
      </c>
      <c r="D8" s="4" t="s">
        <v>163</v>
      </c>
      <c r="E8" s="4" t="s">
        <v>567</v>
      </c>
      <c r="F8" s="4" t="s">
        <v>552</v>
      </c>
    </row>
    <row r="9" spans="1:6" x14ac:dyDescent="0.25">
      <c r="A9" s="5" t="s">
        <v>568</v>
      </c>
      <c r="B9" s="5" t="s">
        <v>569</v>
      </c>
      <c r="C9" s="5" t="s">
        <v>570</v>
      </c>
      <c r="D9" s="5" t="s">
        <v>171</v>
      </c>
      <c r="E9" s="5" t="s">
        <v>571</v>
      </c>
      <c r="F9" s="5" t="s">
        <v>559</v>
      </c>
    </row>
    <row r="10" spans="1:6" x14ac:dyDescent="0.25">
      <c r="A10" s="4" t="s">
        <v>572</v>
      </c>
      <c r="B10" s="4" t="s">
        <v>573</v>
      </c>
      <c r="C10" s="4" t="s">
        <v>574</v>
      </c>
      <c r="D10" s="4" t="s">
        <v>171</v>
      </c>
      <c r="E10" s="4" t="s">
        <v>575</v>
      </c>
      <c r="F10" s="4" t="s">
        <v>576</v>
      </c>
    </row>
    <row r="11" spans="1:6" x14ac:dyDescent="0.25">
      <c r="A11" s="5" t="s">
        <v>577</v>
      </c>
      <c r="B11" s="5" t="s">
        <v>578</v>
      </c>
      <c r="C11" s="5" t="s">
        <v>579</v>
      </c>
      <c r="D11" s="5" t="s">
        <v>171</v>
      </c>
      <c r="E11" s="5" t="s">
        <v>580</v>
      </c>
      <c r="F11" s="5" t="s">
        <v>559</v>
      </c>
    </row>
    <row r="12" spans="1:6" x14ac:dyDescent="0.25">
      <c r="A12" s="4" t="s">
        <v>581</v>
      </c>
      <c r="B12" s="4" t="s">
        <v>582</v>
      </c>
      <c r="C12" s="4" t="s">
        <v>583</v>
      </c>
      <c r="D12" s="4" t="s">
        <v>171</v>
      </c>
      <c r="E12" s="4" t="s">
        <v>584</v>
      </c>
      <c r="F12" s="4" t="s">
        <v>559</v>
      </c>
    </row>
    <row r="13" spans="1:6" x14ac:dyDescent="0.25">
      <c r="A13" s="5" t="s">
        <v>585</v>
      </c>
      <c r="B13" s="5" t="s">
        <v>586</v>
      </c>
      <c r="C13" s="5" t="s">
        <v>587</v>
      </c>
      <c r="D13" s="5" t="s">
        <v>171</v>
      </c>
      <c r="E13" s="5" t="s">
        <v>588</v>
      </c>
      <c r="F13" s="5" t="s">
        <v>559</v>
      </c>
    </row>
    <row r="14" spans="1:6" x14ac:dyDescent="0.25">
      <c r="A14" s="4" t="s">
        <v>589</v>
      </c>
      <c r="B14" s="4" t="s">
        <v>426</v>
      </c>
      <c r="C14" s="4" t="s">
        <v>590</v>
      </c>
      <c r="D14" s="4" t="s">
        <v>171</v>
      </c>
      <c r="E14" s="4" t="s">
        <v>591</v>
      </c>
      <c r="F14" s="4" t="s">
        <v>552</v>
      </c>
    </row>
    <row r="16" spans="1:4" x14ac:dyDescent="0.25">
      <c r="A16" s="6" t="s">
        <v>592</v>
      </c>
      <c r="B16" s="6"/>
      <c r="C16" s="6"/>
      <c r="D16" s="6"/>
    </row>
    <row r="17" spans="1:4" x14ac:dyDescent="0.25">
      <c r="A17" s="7" t="s">
        <v>593</v>
      </c>
      <c r="B17" s="7"/>
      <c r="C17" s="7"/>
      <c r="D17" s="7"/>
    </row>
    <row r="18" spans="1:4" x14ac:dyDescent="0.25">
      <c r="A18" s="7" t="s">
        <v>594</v>
      </c>
      <c r="B18" s="7"/>
      <c r="C18" s="7"/>
      <c r="D18" s="7"/>
    </row>
    <row r="19" spans="1:4" x14ac:dyDescent="0.25">
      <c r="A19" s="7" t="s">
        <v>595</v>
      </c>
      <c r="B19" s="7"/>
      <c r="C19" s="7"/>
      <c r="D19" s="7"/>
    </row>
  </sheetData>
  <autoFilter ref="A3:F14"/>
  <mergeCells count="6">
    <mergeCell ref="A1:F1"/>
    <mergeCell ref="A2:F2"/>
    <mergeCell ref="A16:D16"/>
    <mergeCell ref="A17:D17"/>
    <mergeCell ref="A18:D18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34" customWidth="1"/>
    <col min="3" max="3" width="54" customWidth="1"/>
    <col min="4" max="4" width="26" customWidth="1"/>
    <col min="5" max="5" width="56" customWidth="1"/>
  </cols>
  <sheetData>
    <row r="1" ht="30" customHeight="1" spans="1:5" x14ac:dyDescent="0.25">
      <c r="A1" s="1" t="s">
        <v>596</v>
      </c>
      <c r="B1" s="1"/>
      <c r="C1" s="1"/>
      <c r="D1" s="1"/>
      <c r="E1" s="1"/>
    </row>
    <row r="2" ht="26" customHeight="1" spans="1:5" x14ac:dyDescent="0.25">
      <c r="A2" s="2" t="s">
        <v>597</v>
      </c>
      <c r="B2" s="2"/>
      <c r="C2" s="2"/>
      <c r="D2" s="2"/>
      <c r="E2" s="2"/>
    </row>
    <row r="3" ht="24" customHeight="1" spans="1:5" x14ac:dyDescent="0.25">
      <c r="A3" s="3" t="s">
        <v>598</v>
      </c>
      <c r="B3" s="3" t="s">
        <v>599</v>
      </c>
      <c r="C3" s="3" t="s">
        <v>600</v>
      </c>
      <c r="D3" s="3" t="s">
        <v>601</v>
      </c>
      <c r="E3" s="3" t="s">
        <v>258</v>
      </c>
    </row>
    <row r="4" spans="1:5" x14ac:dyDescent="0.25">
      <c r="A4" s="4" t="s">
        <v>602</v>
      </c>
      <c r="B4" s="4" t="s">
        <v>603</v>
      </c>
      <c r="C4" s="4" t="s">
        <v>604</v>
      </c>
      <c r="D4" s="4" t="s">
        <v>605</v>
      </c>
      <c r="E4" s="4" t="s">
        <v>606</v>
      </c>
    </row>
    <row r="5" spans="1:5" x14ac:dyDescent="0.25">
      <c r="A5" s="5" t="s">
        <v>607</v>
      </c>
      <c r="B5" s="5" t="s">
        <v>608</v>
      </c>
      <c r="C5" s="5" t="s">
        <v>609</v>
      </c>
      <c r="D5" s="5" t="s">
        <v>610</v>
      </c>
      <c r="E5" s="5" t="s">
        <v>611</v>
      </c>
    </row>
    <row r="6" spans="1:5" x14ac:dyDescent="0.25">
      <c r="A6" s="4" t="s">
        <v>612</v>
      </c>
      <c r="B6" s="4" t="s">
        <v>613</v>
      </c>
      <c r="C6" s="4" t="s">
        <v>614</v>
      </c>
      <c r="D6" s="4" t="s">
        <v>615</v>
      </c>
      <c r="E6" s="4" t="s">
        <v>616</v>
      </c>
    </row>
    <row r="7" spans="1:5" x14ac:dyDescent="0.25">
      <c r="A7" s="5" t="s">
        <v>617</v>
      </c>
      <c r="B7" s="5" t="s">
        <v>618</v>
      </c>
      <c r="C7" s="5" t="s">
        <v>619</v>
      </c>
      <c r="D7" s="5" t="s">
        <v>620</v>
      </c>
      <c r="E7" s="5" t="s">
        <v>621</v>
      </c>
    </row>
    <row r="8" spans="1:5" x14ac:dyDescent="0.25">
      <c r="A8" s="4" t="s">
        <v>622</v>
      </c>
      <c r="B8" s="4" t="s">
        <v>623</v>
      </c>
      <c r="C8" s="4" t="s">
        <v>624</v>
      </c>
      <c r="D8" s="4" t="s">
        <v>625</v>
      </c>
      <c r="E8" s="4" t="s">
        <v>264</v>
      </c>
    </row>
    <row r="9" spans="1:5" x14ac:dyDescent="0.25">
      <c r="A9" s="5" t="s">
        <v>626</v>
      </c>
      <c r="B9" s="5" t="s">
        <v>627</v>
      </c>
      <c r="C9" s="5" t="s">
        <v>628</v>
      </c>
      <c r="D9" s="5" t="s">
        <v>629</v>
      </c>
      <c r="E9" s="5" t="s">
        <v>630</v>
      </c>
    </row>
    <row r="10" spans="1:5" x14ac:dyDescent="0.25">
      <c r="A10" s="4" t="s">
        <v>631</v>
      </c>
      <c r="B10" s="4" t="s">
        <v>632</v>
      </c>
      <c r="C10" s="4" t="s">
        <v>633</v>
      </c>
      <c r="D10" s="4" t="s">
        <v>634</v>
      </c>
      <c r="E10" s="4" t="s">
        <v>635</v>
      </c>
    </row>
    <row r="11" spans="1:5" x14ac:dyDescent="0.25">
      <c r="A11" s="5" t="s">
        <v>636</v>
      </c>
      <c r="B11" s="5" t="s">
        <v>190</v>
      </c>
      <c r="C11" s="5" t="s">
        <v>637</v>
      </c>
      <c r="D11" s="5" t="s">
        <v>605</v>
      </c>
      <c r="E11" s="5" t="s">
        <v>638</v>
      </c>
    </row>
    <row r="12" spans="1:5" x14ac:dyDescent="0.25">
      <c r="A12" s="4" t="s">
        <v>639</v>
      </c>
      <c r="B12" s="4" t="s">
        <v>224</v>
      </c>
      <c r="C12" s="4" t="s">
        <v>640</v>
      </c>
      <c r="D12" s="4" t="s">
        <v>641</v>
      </c>
      <c r="E12" s="4" t="s">
        <v>642</v>
      </c>
    </row>
    <row r="13" spans="1:5" x14ac:dyDescent="0.25">
      <c r="A13" s="5" t="s">
        <v>643</v>
      </c>
      <c r="B13" s="5" t="s">
        <v>299</v>
      </c>
      <c r="C13" s="5" t="s">
        <v>644</v>
      </c>
      <c r="D13" s="5" t="s">
        <v>605</v>
      </c>
      <c r="E13" s="5" t="s">
        <v>645</v>
      </c>
    </row>
    <row r="14" spans="1:5" x14ac:dyDescent="0.25">
      <c r="A14" s="4" t="s">
        <v>646</v>
      </c>
      <c r="B14" s="4" t="s">
        <v>647</v>
      </c>
      <c r="C14" s="4" t="s">
        <v>648</v>
      </c>
      <c r="D14" s="4" t="s">
        <v>605</v>
      </c>
      <c r="E14" s="4" t="s">
        <v>649</v>
      </c>
    </row>
    <row r="16" spans="1:4" x14ac:dyDescent="0.25">
      <c r="A16" s="6" t="s">
        <v>650</v>
      </c>
      <c r="B16" s="6"/>
      <c r="C16" s="6"/>
      <c r="D16" s="6"/>
    </row>
    <row r="17" spans="1:4" x14ac:dyDescent="0.25">
      <c r="A17" s="7" t="s">
        <v>44</v>
      </c>
      <c r="B17" s="7"/>
      <c r="C17" s="7"/>
      <c r="D17" s="7"/>
    </row>
    <row r="18" spans="1:4" x14ac:dyDescent="0.25">
      <c r="A18" s="7" t="s">
        <v>651</v>
      </c>
      <c r="B18" s="7"/>
      <c r="C18" s="7"/>
      <c r="D18" s="7"/>
    </row>
    <row r="19" spans="1:4" x14ac:dyDescent="0.25">
      <c r="A19" s="7" t="s">
        <v>652</v>
      </c>
      <c r="B19" s="7"/>
      <c r="C19" s="7"/>
      <c r="D19" s="7"/>
    </row>
    <row r="20" spans="1:4" x14ac:dyDescent="0.25">
      <c r="A20" s="7" t="s">
        <v>653</v>
      </c>
      <c r="B20" s="7"/>
      <c r="C20" s="7"/>
      <c r="D20" s="7"/>
    </row>
    <row r="21" spans="1:4" x14ac:dyDescent="0.25">
      <c r="A21" s="7" t="s">
        <v>654</v>
      </c>
      <c r="B21" s="7"/>
      <c r="C21" s="7"/>
      <c r="D21" s="7"/>
    </row>
    <row r="22" spans="1:4" x14ac:dyDescent="0.25">
      <c r="A22" s="7" t="s">
        <v>655</v>
      </c>
      <c r="B22" s="7"/>
      <c r="C22" s="7"/>
      <c r="D22" s="7"/>
    </row>
  </sheetData>
  <autoFilter ref="A3:E14"/>
  <mergeCells count="9">
    <mergeCell ref="A1:E1"/>
    <mergeCell ref="A2:E2"/>
    <mergeCell ref="A16:D16"/>
    <mergeCell ref="A17:D17"/>
    <mergeCell ref="A18:D18"/>
    <mergeCell ref="A19:D19"/>
    <mergeCell ref="A20:D20"/>
    <mergeCell ref="A21:D21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4" customWidth="1"/>
    <col min="3" max="3" width="46" customWidth="1"/>
    <col min="4" max="5" width="52" customWidth="1"/>
    <col min="6" max="6" width="12" customWidth="1"/>
  </cols>
  <sheetData>
    <row r="1" ht="30" customHeight="1" spans="1:6" x14ac:dyDescent="0.25">
      <c r="A1" s="1" t="s">
        <v>656</v>
      </c>
      <c r="B1" s="1"/>
      <c r="C1" s="1"/>
      <c r="D1" s="1"/>
      <c r="E1" s="1"/>
      <c r="F1" s="1"/>
    </row>
    <row r="2" ht="26" customHeight="1" spans="1:6" x14ac:dyDescent="0.25">
      <c r="A2" s="2" t="s">
        <v>657</v>
      </c>
      <c r="B2" s="2"/>
      <c r="C2" s="2"/>
      <c r="D2" s="2"/>
      <c r="E2" s="2"/>
      <c r="F2" s="2"/>
    </row>
    <row r="3" ht="24" customHeight="1" spans="1:6" x14ac:dyDescent="0.25">
      <c r="A3" s="3" t="s">
        <v>658</v>
      </c>
      <c r="B3" s="3" t="s">
        <v>61</v>
      </c>
      <c r="C3" s="3" t="s">
        <v>659</v>
      </c>
      <c r="D3" s="3" t="s">
        <v>660</v>
      </c>
      <c r="E3" s="3" t="s">
        <v>661</v>
      </c>
      <c r="F3" s="3" t="s">
        <v>662</v>
      </c>
    </row>
    <row r="4" spans="1:6" x14ac:dyDescent="0.25">
      <c r="A4" s="4">
        <v>1</v>
      </c>
      <c r="B4" s="4" t="s">
        <v>663</v>
      </c>
      <c r="C4" s="4" t="s">
        <v>664</v>
      </c>
      <c r="D4" s="4" t="s">
        <v>665</v>
      </c>
      <c r="E4" s="4" t="s">
        <v>666</v>
      </c>
      <c r="F4" s="4" t="s">
        <v>667</v>
      </c>
    </row>
    <row r="5" spans="1:6" x14ac:dyDescent="0.25">
      <c r="A5" s="5">
        <v>2</v>
      </c>
      <c r="B5" s="5" t="s">
        <v>663</v>
      </c>
      <c r="C5" s="5" t="s">
        <v>668</v>
      </c>
      <c r="D5" s="5" t="s">
        <v>669</v>
      </c>
      <c r="E5" s="5" t="s">
        <v>670</v>
      </c>
      <c r="F5" s="5" t="s">
        <v>667</v>
      </c>
    </row>
    <row r="6" spans="1:6" x14ac:dyDescent="0.25">
      <c r="A6" s="4">
        <v>3</v>
      </c>
      <c r="B6" s="4" t="s">
        <v>430</v>
      </c>
      <c r="C6" s="4" t="s">
        <v>671</v>
      </c>
      <c r="D6" s="4" t="s">
        <v>672</v>
      </c>
      <c r="E6" s="4" t="s">
        <v>673</v>
      </c>
      <c r="F6" s="4" t="s">
        <v>273</v>
      </c>
    </row>
    <row r="7" spans="1:6" x14ac:dyDescent="0.25">
      <c r="A7" s="5">
        <v>4</v>
      </c>
      <c r="B7" s="5" t="s">
        <v>430</v>
      </c>
      <c r="C7" s="5" t="s">
        <v>674</v>
      </c>
      <c r="D7" s="5" t="s">
        <v>675</v>
      </c>
      <c r="E7" s="5" t="s">
        <v>676</v>
      </c>
      <c r="F7" s="5" t="s">
        <v>10</v>
      </c>
    </row>
    <row r="8" spans="1:6" x14ac:dyDescent="0.25">
      <c r="A8" s="4">
        <v>5</v>
      </c>
      <c r="B8" s="4" t="s">
        <v>677</v>
      </c>
      <c r="C8" s="4" t="s">
        <v>678</v>
      </c>
      <c r="D8" s="4" t="s">
        <v>679</v>
      </c>
      <c r="E8" s="4" t="s">
        <v>680</v>
      </c>
      <c r="F8" s="4" t="s">
        <v>273</v>
      </c>
    </row>
    <row r="9" spans="1:6" x14ac:dyDescent="0.25">
      <c r="A9" s="5">
        <v>6</v>
      </c>
      <c r="B9" s="5" t="s">
        <v>681</v>
      </c>
      <c r="C9" s="5" t="s">
        <v>682</v>
      </c>
      <c r="D9" s="5" t="s">
        <v>683</v>
      </c>
      <c r="E9" s="5" t="s">
        <v>684</v>
      </c>
      <c r="F9" s="5" t="s">
        <v>289</v>
      </c>
    </row>
    <row r="10" spans="1:6" x14ac:dyDescent="0.25">
      <c r="A10" s="4">
        <v>7</v>
      </c>
      <c r="B10" s="4" t="s">
        <v>685</v>
      </c>
      <c r="C10" s="4" t="s">
        <v>686</v>
      </c>
      <c r="D10" s="4" t="s">
        <v>687</v>
      </c>
      <c r="E10" s="4" t="s">
        <v>688</v>
      </c>
      <c r="F10" s="4" t="s">
        <v>10</v>
      </c>
    </row>
    <row r="11" spans="1:6" x14ac:dyDescent="0.25">
      <c r="A11" s="5">
        <v>8</v>
      </c>
      <c r="B11" s="5" t="s">
        <v>516</v>
      </c>
      <c r="C11" s="5" t="s">
        <v>689</v>
      </c>
      <c r="D11" s="5" t="s">
        <v>690</v>
      </c>
      <c r="E11" s="5" t="s">
        <v>691</v>
      </c>
      <c r="F11" s="5" t="s">
        <v>289</v>
      </c>
    </row>
    <row r="12" spans="1:6" x14ac:dyDescent="0.25">
      <c r="A12" s="4">
        <v>9</v>
      </c>
      <c r="B12" s="4" t="s">
        <v>198</v>
      </c>
      <c r="C12" s="4" t="s">
        <v>692</v>
      </c>
      <c r="D12" s="4" t="s">
        <v>693</v>
      </c>
      <c r="E12" s="4" t="s">
        <v>694</v>
      </c>
      <c r="F12" s="4" t="s">
        <v>10</v>
      </c>
    </row>
    <row r="13" spans="1:6" x14ac:dyDescent="0.25">
      <c r="A13" s="5">
        <v>10</v>
      </c>
      <c r="B13" s="5" t="s">
        <v>198</v>
      </c>
      <c r="C13" s="5" t="s">
        <v>695</v>
      </c>
      <c r="D13" s="5" t="s">
        <v>696</v>
      </c>
      <c r="E13" s="5" t="s">
        <v>697</v>
      </c>
      <c r="F13" s="5" t="s">
        <v>10</v>
      </c>
    </row>
    <row r="14" spans="1:6" x14ac:dyDescent="0.25">
      <c r="A14" s="4">
        <v>11</v>
      </c>
      <c r="B14" s="4" t="s">
        <v>698</v>
      </c>
      <c r="C14" s="4" t="s">
        <v>699</v>
      </c>
      <c r="D14" s="4" t="s">
        <v>700</v>
      </c>
      <c r="E14" s="4" t="s">
        <v>701</v>
      </c>
      <c r="F14" s="4" t="s">
        <v>10</v>
      </c>
    </row>
    <row r="15" spans="1:6" x14ac:dyDescent="0.25">
      <c r="A15" s="5">
        <v>12</v>
      </c>
      <c r="B15" s="5" t="s">
        <v>698</v>
      </c>
      <c r="C15" s="5" t="s">
        <v>702</v>
      </c>
      <c r="D15" s="5" t="s">
        <v>703</v>
      </c>
      <c r="E15" s="5" t="s">
        <v>704</v>
      </c>
      <c r="F15" s="5" t="s">
        <v>273</v>
      </c>
    </row>
    <row r="16" spans="1:6" x14ac:dyDescent="0.25">
      <c r="A16" s="4">
        <v>13</v>
      </c>
      <c r="B16" s="4" t="s">
        <v>705</v>
      </c>
      <c r="C16" s="4" t="s">
        <v>706</v>
      </c>
      <c r="D16" s="4" t="s">
        <v>707</v>
      </c>
      <c r="E16" s="4" t="s">
        <v>708</v>
      </c>
      <c r="F16" s="4" t="s">
        <v>289</v>
      </c>
    </row>
    <row r="17" spans="1:6" x14ac:dyDescent="0.25">
      <c r="A17" s="5">
        <v>14</v>
      </c>
      <c r="B17" s="5" t="s">
        <v>111</v>
      </c>
      <c r="C17" s="5" t="s">
        <v>709</v>
      </c>
      <c r="D17" s="5" t="s">
        <v>710</v>
      </c>
      <c r="E17" s="5" t="s">
        <v>711</v>
      </c>
      <c r="F17" s="5" t="s">
        <v>667</v>
      </c>
    </row>
    <row r="18" spans="1:6" x14ac:dyDescent="0.25">
      <c r="A18" s="4">
        <v>15</v>
      </c>
      <c r="B18" s="4" t="s">
        <v>237</v>
      </c>
      <c r="C18" s="4" t="s">
        <v>712</v>
      </c>
      <c r="D18" s="4" t="s">
        <v>713</v>
      </c>
      <c r="E18" s="4" t="s">
        <v>714</v>
      </c>
      <c r="F18" s="4" t="s">
        <v>273</v>
      </c>
    </row>
    <row r="19" spans="1:6" x14ac:dyDescent="0.25">
      <c r="A19" s="5">
        <v>16</v>
      </c>
      <c r="B19" s="5" t="s">
        <v>715</v>
      </c>
      <c r="C19" s="5" t="s">
        <v>716</v>
      </c>
      <c r="D19" s="5" t="s">
        <v>717</v>
      </c>
      <c r="E19" s="5" t="s">
        <v>718</v>
      </c>
      <c r="F19" s="5" t="s">
        <v>273</v>
      </c>
    </row>
    <row r="20" spans="1:6" x14ac:dyDescent="0.25">
      <c r="A20" s="4">
        <v>17</v>
      </c>
      <c r="B20" s="4" t="s">
        <v>719</v>
      </c>
      <c r="C20" s="4" t="s">
        <v>720</v>
      </c>
      <c r="D20" s="4" t="s">
        <v>721</v>
      </c>
      <c r="E20" s="4" t="s">
        <v>722</v>
      </c>
      <c r="F20" s="4" t="s">
        <v>723</v>
      </c>
    </row>
    <row r="21" spans="1:6" x14ac:dyDescent="0.25">
      <c r="A21" s="5">
        <v>18</v>
      </c>
      <c r="B21" s="5" t="s">
        <v>724</v>
      </c>
      <c r="C21" s="5" t="s">
        <v>725</v>
      </c>
      <c r="D21" s="5" t="s">
        <v>726</v>
      </c>
      <c r="E21" s="5" t="s">
        <v>727</v>
      </c>
      <c r="F21" s="5" t="s">
        <v>10</v>
      </c>
    </row>
  </sheetData>
  <autoFilter ref="A3:F21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46" customWidth="1"/>
    <col min="3" max="3" width="14" customWidth="1"/>
    <col min="4" max="4" width="12" customWidth="1"/>
    <col min="5" max="5" width="56" customWidth="1"/>
  </cols>
  <sheetData>
    <row r="1" ht="30" customHeight="1" spans="1:5" x14ac:dyDescent="0.25">
      <c r="A1" s="1" t="s">
        <v>728</v>
      </c>
      <c r="B1" s="1"/>
      <c r="C1" s="1"/>
      <c r="D1" s="1"/>
      <c r="E1" s="1"/>
    </row>
    <row r="2" ht="26" customHeight="1" spans="1:5" x14ac:dyDescent="0.25">
      <c r="A2" s="2" t="s">
        <v>729</v>
      </c>
      <c r="B2" s="2"/>
      <c r="C2" s="2"/>
      <c r="D2" s="2"/>
      <c r="E2" s="2"/>
    </row>
    <row r="3" ht="24" customHeight="1" spans="1:5" x14ac:dyDescent="0.25">
      <c r="A3" s="3" t="s">
        <v>730</v>
      </c>
      <c r="B3" s="3" t="s">
        <v>731</v>
      </c>
      <c r="C3" s="3" t="s">
        <v>432</v>
      </c>
      <c r="D3" s="3" t="s">
        <v>6</v>
      </c>
      <c r="E3" s="3" t="s">
        <v>732</v>
      </c>
    </row>
    <row r="4" spans="1:5" x14ac:dyDescent="0.25">
      <c r="A4" s="4" t="s">
        <v>733</v>
      </c>
      <c r="B4" s="4" t="s">
        <v>734</v>
      </c>
      <c r="C4" s="4" t="s">
        <v>735</v>
      </c>
      <c r="D4" s="4" t="s">
        <v>42</v>
      </c>
      <c r="E4" s="4" t="s">
        <v>736</v>
      </c>
    </row>
    <row r="5" spans="1:5" x14ac:dyDescent="0.25">
      <c r="A5" s="5" t="s">
        <v>733</v>
      </c>
      <c r="B5" s="5" t="s">
        <v>737</v>
      </c>
      <c r="C5" s="5" t="s">
        <v>735</v>
      </c>
      <c r="D5" s="5" t="s">
        <v>10</v>
      </c>
      <c r="E5" s="5" t="s">
        <v>738</v>
      </c>
    </row>
    <row r="6" spans="1:5" x14ac:dyDescent="0.25">
      <c r="A6" s="4" t="s">
        <v>733</v>
      </c>
      <c r="B6" s="4" t="s">
        <v>739</v>
      </c>
      <c r="C6" s="4" t="s">
        <v>735</v>
      </c>
      <c r="D6" s="4" t="s">
        <v>10</v>
      </c>
      <c r="E6" s="4" t="s">
        <v>740</v>
      </c>
    </row>
    <row r="7" spans="1:5" x14ac:dyDescent="0.25">
      <c r="A7" s="5" t="s">
        <v>741</v>
      </c>
      <c r="B7" s="5" t="s">
        <v>742</v>
      </c>
      <c r="C7" s="5" t="s">
        <v>743</v>
      </c>
      <c r="D7" s="5" t="s">
        <v>273</v>
      </c>
      <c r="E7" s="5" t="s">
        <v>744</v>
      </c>
    </row>
    <row r="8" spans="1:5" x14ac:dyDescent="0.25">
      <c r="A8" s="4" t="s">
        <v>741</v>
      </c>
      <c r="B8" s="4" t="s">
        <v>745</v>
      </c>
      <c r="C8" s="4" t="s">
        <v>743</v>
      </c>
      <c r="D8" s="4" t="s">
        <v>273</v>
      </c>
      <c r="E8" s="4" t="s">
        <v>746</v>
      </c>
    </row>
    <row r="9" spans="1:5" x14ac:dyDescent="0.25">
      <c r="A9" s="5" t="s">
        <v>747</v>
      </c>
      <c r="B9" s="5" t="s">
        <v>748</v>
      </c>
      <c r="C9" s="5" t="s">
        <v>743</v>
      </c>
      <c r="D9" s="5" t="s">
        <v>313</v>
      </c>
      <c r="E9" s="5" t="s">
        <v>749</v>
      </c>
    </row>
    <row r="10" spans="1:5" x14ac:dyDescent="0.25">
      <c r="A10" s="4" t="s">
        <v>747</v>
      </c>
      <c r="B10" s="4" t="s">
        <v>750</v>
      </c>
      <c r="C10" s="4" t="s">
        <v>743</v>
      </c>
      <c r="D10" s="4" t="s">
        <v>289</v>
      </c>
      <c r="E10" s="4" t="s">
        <v>751</v>
      </c>
    </row>
    <row r="11" spans="1:5" x14ac:dyDescent="0.25">
      <c r="A11" s="5" t="s">
        <v>752</v>
      </c>
      <c r="B11" s="5" t="s">
        <v>753</v>
      </c>
      <c r="C11" s="5" t="s">
        <v>754</v>
      </c>
      <c r="D11" s="5" t="s">
        <v>289</v>
      </c>
      <c r="E11" s="5" t="s">
        <v>755</v>
      </c>
    </row>
    <row r="12" spans="1:5" x14ac:dyDescent="0.25">
      <c r="A12" s="4" t="s">
        <v>752</v>
      </c>
      <c r="B12" s="4" t="s">
        <v>756</v>
      </c>
      <c r="C12" s="4" t="s">
        <v>743</v>
      </c>
      <c r="D12" s="4" t="s">
        <v>289</v>
      </c>
      <c r="E12" s="4" t="s">
        <v>757</v>
      </c>
    </row>
    <row r="13" spans="1:5" x14ac:dyDescent="0.25">
      <c r="A13" s="5" t="s">
        <v>758</v>
      </c>
      <c r="B13" s="5" t="s">
        <v>759</v>
      </c>
      <c r="C13" s="5" t="s">
        <v>743</v>
      </c>
      <c r="D13" s="5" t="s">
        <v>273</v>
      </c>
      <c r="E13" s="5" t="s">
        <v>760</v>
      </c>
    </row>
    <row r="14" spans="1:5" x14ac:dyDescent="0.25">
      <c r="A14" s="4" t="s">
        <v>758</v>
      </c>
      <c r="B14" s="4" t="s">
        <v>761</v>
      </c>
      <c r="C14" s="4" t="s">
        <v>754</v>
      </c>
      <c r="D14" s="4" t="s">
        <v>273</v>
      </c>
      <c r="E14" s="4" t="s">
        <v>762</v>
      </c>
    </row>
    <row r="15" spans="1:5" x14ac:dyDescent="0.25">
      <c r="A15" s="5" t="s">
        <v>758</v>
      </c>
      <c r="B15" s="5" t="s">
        <v>763</v>
      </c>
      <c r="C15" s="5" t="s">
        <v>743</v>
      </c>
      <c r="D15" s="5" t="s">
        <v>10</v>
      </c>
      <c r="E15" s="5" t="s">
        <v>764</v>
      </c>
    </row>
    <row r="16" spans="1:5" x14ac:dyDescent="0.25">
      <c r="A16" s="4" t="s">
        <v>765</v>
      </c>
      <c r="B16" s="4" t="s">
        <v>766</v>
      </c>
      <c r="C16" s="4" t="s">
        <v>735</v>
      </c>
      <c r="D16" s="4" t="s">
        <v>767</v>
      </c>
      <c r="E16" s="4" t="s">
        <v>768</v>
      </c>
    </row>
  </sheetData>
  <autoFilter ref="A3:E16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64" customWidth="1"/>
    <col min="3" max="3" width="50" customWidth="1"/>
  </cols>
  <sheetData>
    <row r="1" ht="30" customHeight="1" spans="1:3" x14ac:dyDescent="0.25">
      <c r="A1" s="1" t="s">
        <v>769</v>
      </c>
      <c r="B1" s="1"/>
      <c r="C1" s="1"/>
    </row>
    <row r="2" ht="26" customHeight="1" spans="1:3" x14ac:dyDescent="0.25">
      <c r="A2" s="2" t="s">
        <v>770</v>
      </c>
      <c r="B2" s="2"/>
      <c r="C2" s="2"/>
    </row>
    <row r="3" ht="24" customHeight="1" spans="1:3" x14ac:dyDescent="0.25">
      <c r="A3" s="3" t="s">
        <v>771</v>
      </c>
      <c r="B3" s="3" t="s">
        <v>772</v>
      </c>
      <c r="C3" s="3" t="s">
        <v>64</v>
      </c>
    </row>
    <row r="4" spans="1:3" x14ac:dyDescent="0.25">
      <c r="A4" s="4" t="s">
        <v>773</v>
      </c>
      <c r="B4" s="4" t="s">
        <v>774</v>
      </c>
      <c r="C4" s="11" t="s">
        <v>44</v>
      </c>
    </row>
    <row r="5" spans="1:3" x14ac:dyDescent="0.25">
      <c r="A5" s="5" t="s">
        <v>775</v>
      </c>
      <c r="B5" s="5" t="s">
        <v>776</v>
      </c>
      <c r="C5" s="11" t="s">
        <v>44</v>
      </c>
    </row>
    <row r="6" spans="1:3" x14ac:dyDescent="0.25">
      <c r="A6" s="4" t="s">
        <v>153</v>
      </c>
      <c r="B6" s="4" t="s">
        <v>777</v>
      </c>
      <c r="C6" s="11" t="s">
        <v>44</v>
      </c>
    </row>
    <row r="7" spans="1:3" x14ac:dyDescent="0.25">
      <c r="A7" s="5" t="s">
        <v>778</v>
      </c>
      <c r="B7" s="5" t="s">
        <v>779</v>
      </c>
      <c r="C7" s="11" t="s">
        <v>44</v>
      </c>
    </row>
    <row r="8" spans="1:3" x14ac:dyDescent="0.25">
      <c r="A8" s="4" t="s">
        <v>780</v>
      </c>
      <c r="B8" s="4" t="s">
        <v>781</v>
      </c>
      <c r="C8" s="11" t="s">
        <v>44</v>
      </c>
    </row>
    <row r="9" spans="1:3" x14ac:dyDescent="0.25">
      <c r="A9" s="5" t="s">
        <v>314</v>
      </c>
      <c r="B9" s="5" t="s">
        <v>782</v>
      </c>
      <c r="C9" s="11" t="s">
        <v>44</v>
      </c>
    </row>
    <row r="10" spans="1:3" x14ac:dyDescent="0.25">
      <c r="A10" s="4" t="s">
        <v>783</v>
      </c>
      <c r="B10" s="4" t="s">
        <v>784</v>
      </c>
      <c r="C10" s="11" t="s">
        <v>44</v>
      </c>
    </row>
    <row r="11" spans="1:3" x14ac:dyDescent="0.25">
      <c r="A11" s="5" t="s">
        <v>303</v>
      </c>
      <c r="B11" s="5" t="s">
        <v>785</v>
      </c>
      <c r="C11" s="11" t="s">
        <v>44</v>
      </c>
    </row>
    <row r="12" spans="1:3" x14ac:dyDescent="0.25">
      <c r="A12" s="4" t="s">
        <v>111</v>
      </c>
      <c r="B12" s="4" t="s">
        <v>786</v>
      </c>
      <c r="C12" s="11" t="s">
        <v>44</v>
      </c>
    </row>
    <row r="13" spans="1:3" x14ac:dyDescent="0.25">
      <c r="A13" s="5" t="s">
        <v>787</v>
      </c>
      <c r="B13" s="5" t="s">
        <v>788</v>
      </c>
      <c r="C13" s="11" t="s">
        <v>44</v>
      </c>
    </row>
    <row r="14" spans="1:3" x14ac:dyDescent="0.25">
      <c r="A14" s="4" t="s">
        <v>516</v>
      </c>
      <c r="B14" s="4" t="s">
        <v>789</v>
      </c>
      <c r="C14" s="11" t="s">
        <v>44</v>
      </c>
    </row>
    <row r="15" spans="1:3" x14ac:dyDescent="0.25">
      <c r="A15" s="5" t="s">
        <v>790</v>
      </c>
      <c r="B15" s="5" t="s">
        <v>791</v>
      </c>
      <c r="C15" s="11" t="s">
        <v>44</v>
      </c>
    </row>
    <row r="16" spans="1:3" x14ac:dyDescent="0.25">
      <c r="A16" s="4" t="s">
        <v>792</v>
      </c>
      <c r="B16" s="4" t="s">
        <v>793</v>
      </c>
      <c r="C16" s="11" t="s">
        <v>44</v>
      </c>
    </row>
    <row r="18" spans="1:3" x14ac:dyDescent="0.25">
      <c r="A18" s="6" t="s">
        <v>794</v>
      </c>
      <c r="B18" s="6"/>
      <c r="C18" s="6"/>
    </row>
    <row r="19" spans="1:3" x14ac:dyDescent="0.25">
      <c r="A19" s="7" t="s">
        <v>44</v>
      </c>
      <c r="B19" s="7"/>
      <c r="C19" s="7"/>
    </row>
    <row r="20" spans="1:3" x14ac:dyDescent="0.25">
      <c r="A20" s="7" t="s">
        <v>795</v>
      </c>
      <c r="B20" s="7"/>
      <c r="C20" s="7"/>
    </row>
    <row r="21" spans="1:3" x14ac:dyDescent="0.25">
      <c r="A21" s="7" t="s">
        <v>796</v>
      </c>
      <c r="B21" s="7"/>
      <c r="C21" s="7"/>
    </row>
    <row r="22" spans="1:3" x14ac:dyDescent="0.25">
      <c r="A22" s="7" t="s">
        <v>44</v>
      </c>
      <c r="B22" s="7"/>
      <c r="C22" s="7"/>
    </row>
    <row r="23" spans="1:3" x14ac:dyDescent="0.25">
      <c r="A23" s="7" t="s">
        <v>797</v>
      </c>
      <c r="B23" s="7"/>
      <c r="C23" s="7"/>
    </row>
    <row r="24" spans="1:3" x14ac:dyDescent="0.25">
      <c r="A24" s="7" t="s">
        <v>44</v>
      </c>
      <c r="B24" s="7"/>
      <c r="C24" s="7"/>
    </row>
    <row r="25" spans="1:3" x14ac:dyDescent="0.25">
      <c r="A25" s="7" t="s">
        <v>798</v>
      </c>
      <c r="B25" s="7"/>
      <c r="C25" s="7"/>
    </row>
    <row r="26" spans="1:3" x14ac:dyDescent="0.25">
      <c r="A26" s="7" t="s">
        <v>799</v>
      </c>
      <c r="B26" s="7"/>
      <c r="C26" s="7"/>
    </row>
  </sheetData>
  <autoFilter ref="A3:C16"/>
  <mergeCells count="11">
    <mergeCell ref="A1:C1"/>
    <mergeCell ref="A2:C2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00_시작</vt:lpstr>
      <vt:lpstr>01_기획질문</vt:lpstr>
      <vt:lpstr>02_메뉴구성</vt:lpstr>
      <vt:lpstr>03_기능목록</vt:lpstr>
      <vt:lpstr>04_관리자</vt:lpstr>
      <vt:lpstr>05_연동절차</vt:lpstr>
      <vt:lpstr>06_환경변수</vt:lpstr>
      <vt:lpstr>07_DB설계</vt:lpstr>
      <vt:lpstr>08_함정노트</vt:lpstr>
      <vt:lpstr>09_일정표</vt:lpstr>
      <vt:lpstr>10_의뢰문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원주청년소상공인협회</dc:creator>
  <dc:title/>
  <dc:subject/>
  <dc:description/>
  <cp:keywords/>
  <cp:category/>
  <cp:lastModifiedBy>Unknown</cp:lastModifiedBy>
  <dcterms:created xsi:type="dcterms:W3CDTF">2026-09-14T13:44:54Z</dcterms:created>
  <dcterms:modified xsi:type="dcterms:W3CDTF">2026-09-14T13:44:54Z</dcterms:modified>
</cp:coreProperties>
</file>